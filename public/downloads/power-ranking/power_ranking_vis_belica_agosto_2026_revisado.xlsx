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anking Vis Bélica Agosto" sheetId="1" state="visible" r:id="rId1"/>
    <sheet xmlns:r="http://schemas.openxmlformats.org/officeDocument/2006/relationships" name="Power Ranking Vis Bélica Agosto" sheetId="2" state="visible" r:id="rId2"/>
    <sheet xmlns:r="http://schemas.openxmlformats.org/officeDocument/2006/relationships" name="Ranking Vis Bélica Julio" sheetId="3" state="visible" r:id="rId3"/>
    <sheet xmlns:r="http://schemas.openxmlformats.org/officeDocument/2006/relationships" name="Power Ranking Vis Bélica Julio" sheetId="4" state="visible" r:id="rId4"/>
    <sheet xmlns:r="http://schemas.openxmlformats.org/officeDocument/2006/relationships" name="Ranking Vis Bélica Junio" sheetId="5" state="visible" r:id="rId5"/>
    <sheet xmlns:r="http://schemas.openxmlformats.org/officeDocument/2006/relationships" name="Power Ranking Vis Bélica Junio" sheetId="6" state="visible" r:id="rId6"/>
    <sheet xmlns:r="http://schemas.openxmlformats.org/officeDocument/2006/relationships" name="Histórico Vis Bélica" sheetId="7" state="visible" r:id="rId7"/>
  </sheets>
  <definedNames/>
  <calcPr calcId="124519" calcMode="auto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9"/>
      <sz val="14"/>
    </font>
    <font>
      <name val="Cambria"/>
      <charset val="1"/>
      <family val="0"/>
      <i val="1"/>
      <color rgb="FF555555"/>
      <sz val="9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FFFFFF"/>
      <sz val="11"/>
    </font>
    <font>
      <name val="Arial"/>
      <charset val="1"/>
      <family val="0"/>
      <b val="1"/>
      <sz val="14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sz val="9"/>
    </font>
    <font>
      <name val="Arial"/>
      <charset val="1"/>
      <family val="0"/>
      <sz val="10"/>
    </font>
  </fonts>
  <fills count="10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D700"/>
        <bgColor rgb="FFFFFF00"/>
      </patternFill>
    </fill>
    <fill>
      <patternFill patternType="solid">
        <fgColor rgb="FFC0C0C0"/>
        <bgColor rgb="FFBFBFBF"/>
      </patternFill>
    </fill>
    <fill>
      <patternFill patternType="solid">
        <fgColor rgb="FFD5E8D4"/>
        <bgColor rgb="FFDAE8FC"/>
      </patternFill>
    </fill>
    <fill>
      <patternFill patternType="solid">
        <fgColor rgb="FFCD7F32"/>
        <bgColor rgb="FFFF8080"/>
      </patternFill>
    </fill>
    <fill>
      <patternFill patternType="solid">
        <fgColor rgb="FFF8CECC"/>
        <bgColor rgb="FFD5E8D4"/>
      </patternFill>
    </fill>
    <fill>
      <patternFill patternType="solid">
        <fgColor rgb="FFF0F4F8"/>
        <bgColor rgb="FFFFFFFF"/>
      </patternFill>
    </fill>
    <fill>
      <patternFill patternType="solid">
        <fgColor rgb="FFDAE8FC"/>
        <bgColor rgb="FFD5E8D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general" vertical="bottom"/>
    </xf>
    <xf numFmtId="0" fontId="12" fillId="4" borderId="2" applyAlignment="1" pivotButton="0" quotePrefix="0" xfId="0">
      <alignment horizontal="general" vertical="bottom"/>
    </xf>
    <xf numFmtId="0" fontId="12" fillId="6" borderId="2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12" fillId="8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4" fillId="8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0" fillId="9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2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general" vertical="bottom"/>
    </xf>
    <xf numFmtId="0" fontId="12" fillId="4" borderId="2" applyAlignment="1" pivotButton="0" quotePrefix="0" xfId="0">
      <alignment horizontal="general" vertical="bottom"/>
    </xf>
    <xf numFmtId="0" fontId="12" fillId="6" borderId="2" applyAlignment="1" pivotButton="0" quotePrefix="0" xfId="0">
      <alignment horizontal="general" vertical="bottom"/>
    </xf>
    <xf numFmtId="0" fontId="12" fillId="0" borderId="2" applyAlignment="1" pivotButton="0" quotePrefix="0" xfId="0">
      <alignment horizontal="general" vertical="bottom"/>
    </xf>
    <xf numFmtId="0" fontId="12" fillId="8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1" fillId="2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general" vertical="bottom"/>
    </xf>
    <xf numFmtId="0" fontId="14" fillId="4" borderId="1" applyAlignment="1" pivotButton="0" quotePrefix="0" xfId="0">
      <alignment horizontal="general" vertical="bottom"/>
    </xf>
    <xf numFmtId="0" fontId="14" fillId="6" borderId="1" applyAlignment="1" pivotButton="0" quotePrefix="0" xfId="0">
      <alignment horizontal="general" vertical="bottom"/>
    </xf>
    <xf numFmtId="0" fontId="14" fillId="8" borderId="1" applyAlignment="1" pivotButton="0" quotePrefix="0" xfId="0">
      <alignment horizontal="general" vertical="bottom"/>
    </xf>
    <xf numFmtId="0" fontId="14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4F8"/>
      <rgbColor rgb="FFDAE8FC"/>
      <rgbColor rgb="FF660066"/>
      <rgbColor rgb="FFFF8080"/>
      <rgbColor rgb="FF0066CC"/>
      <rgbColor rgb="FFBFBFB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8CECC"/>
      <rgbColor rgb="FF3366FF"/>
      <rgbColor rgb="FF33CCCC"/>
      <rgbColor rgb="FF99CC00"/>
      <rgbColor rgb="FFFFD700"/>
      <rgbColor rgb="FFFF9900"/>
      <rgbColor rgb="FFCD7F32"/>
      <rgbColor rgb="FF555555"/>
      <rgbColor rgb="FFB0B0B0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7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48" customWidth="1" style="32" min="2" max="2"/>
    <col width="7" customWidth="1" style="32" min="3" max="6"/>
    <col width="8" customWidth="1" style="32" min="7" max="8"/>
  </cols>
  <sheetData>
    <row r="1" ht="17.35" customHeight="1" s="33">
      <c r="A1" s="34" t="inlineStr">
        <is>
          <t>RANKING VIS BÉLICA — AGOSTO 2026 (wargames)</t>
        </is>
      </c>
    </row>
    <row r="2" ht="15" customHeight="1" s="33">
      <c r="A2" s="35" t="inlineStr">
        <is>
          <t>Criterio ESTRICTO: hex&amp;counter, CDG y bloques (rancios de verdad). Ver lista acordada.</t>
        </is>
      </c>
    </row>
    <row r="3" ht="15" customHeight="1" s="33">
      <c r="A3" s="36" t="inlineStr">
        <is>
          <t>Wargames: 74    Votantes con wargame: 64 de 181</t>
        </is>
      </c>
    </row>
    <row r="5" ht="15" customHeight="1" s="33">
      <c r="A5" s="37" t="inlineStr">
        <is>
          <t>Pos</t>
        </is>
      </c>
      <c r="B5" s="37" t="inlineStr">
        <is>
          <t>Juego</t>
        </is>
      </c>
      <c r="C5" s="37" t="inlineStr">
        <is>
          <t>Pts</t>
        </is>
      </c>
      <c r="D5" s="37" t="inlineStr">
        <is>
          <t>Nº1</t>
        </is>
      </c>
      <c r="E5" s="37" t="inlineStr">
        <is>
          <t>Nº2</t>
        </is>
      </c>
      <c r="F5" s="37" t="inlineStr">
        <is>
          <t>Nº3</t>
        </is>
      </c>
      <c r="G5" s="37" t="inlineStr">
        <is>
          <t>Votos</t>
        </is>
      </c>
      <c r="H5" s="37" t="inlineStr">
        <is>
          <t>Var.</t>
        </is>
      </c>
    </row>
    <row r="6" ht="15" customHeight="1" s="33">
      <c r="A6" s="38" t="n">
        <v>1</v>
      </c>
      <c r="B6" s="38" t="inlineStr">
        <is>
          <t>D-Day at Omaha Beach</t>
        </is>
      </c>
      <c r="C6" s="38" t="n">
        <v>23</v>
      </c>
      <c r="D6" s="38" t="n">
        <v>4</v>
      </c>
      <c r="E6" s="38" t="n">
        <v>5</v>
      </c>
      <c r="F6" s="38" t="n">
        <v>1</v>
      </c>
      <c r="G6" s="38" t="n">
        <v>10</v>
      </c>
      <c r="H6" s="38" t="inlineStr">
        <is>
          <t>=</t>
        </is>
      </c>
    </row>
    <row r="7" ht="15" customHeight="1" s="33">
      <c r="A7" s="39" t="n">
        <v>2</v>
      </c>
      <c r="B7" s="39" t="inlineStr">
        <is>
          <t>Fields of Fire</t>
        </is>
      </c>
      <c r="C7" s="39" t="n">
        <v>17</v>
      </c>
      <c r="D7" s="39" t="n">
        <v>4</v>
      </c>
      <c r="E7" s="39" t="n">
        <v>2</v>
      </c>
      <c r="F7" s="39" t="n">
        <v>1</v>
      </c>
      <c r="G7" s="39" t="n">
        <v>7</v>
      </c>
      <c r="H7" s="40" t="inlineStr">
        <is>
          <t>+6</t>
        </is>
      </c>
    </row>
    <row r="8" ht="15" customHeight="1" s="33">
      <c r="A8" s="41" t="n">
        <v>3</v>
      </c>
      <c r="B8" s="41" t="inlineStr">
        <is>
          <t>Guerra del Anillo</t>
        </is>
      </c>
      <c r="C8" s="41" t="n">
        <v>10</v>
      </c>
      <c r="D8" s="41" t="n">
        <v>2</v>
      </c>
      <c r="E8" s="41" t="n">
        <v>1</v>
      </c>
      <c r="F8" s="41" t="n">
        <v>2</v>
      </c>
      <c r="G8" s="41" t="n">
        <v>5</v>
      </c>
      <c r="H8" s="42" t="inlineStr">
        <is>
          <t>-1</t>
        </is>
      </c>
    </row>
    <row r="9" ht="15" customHeight="1" s="33">
      <c r="A9" s="43" t="n">
        <v>4</v>
      </c>
      <c r="B9" s="43" t="inlineStr">
        <is>
          <t>Thunderbolt: Deluxe Edition</t>
        </is>
      </c>
      <c r="C9" s="43" t="n">
        <v>9</v>
      </c>
      <c r="D9" s="43" t="n">
        <v>2</v>
      </c>
      <c r="E9" s="43" t="n">
        <v>1</v>
      </c>
      <c r="F9" s="43" t="n">
        <v>1</v>
      </c>
      <c r="G9" s="43" t="n">
        <v>4</v>
      </c>
      <c r="H9" s="44" t="inlineStr">
        <is>
          <t>NEW</t>
        </is>
      </c>
    </row>
    <row r="10" ht="15" customHeight="1" s="33">
      <c r="A10" s="45" t="n">
        <v>5</v>
      </c>
      <c r="B10" s="45" t="inlineStr">
        <is>
          <t>Imperial Struggle</t>
        </is>
      </c>
      <c r="C10" s="45" t="n">
        <v>8</v>
      </c>
      <c r="D10" s="45" t="n">
        <v>2</v>
      </c>
      <c r="E10" s="45" t="n">
        <v>1</v>
      </c>
      <c r="F10" s="45" t="n">
        <v>0</v>
      </c>
      <c r="G10" s="45" t="n">
        <v>3</v>
      </c>
      <c r="H10" s="44" t="inlineStr">
        <is>
          <t>NEW</t>
        </is>
      </c>
    </row>
    <row r="11" ht="15" customHeight="1" s="33">
      <c r="A11" s="43" t="n">
        <v>6</v>
      </c>
      <c r="B11" s="43" t="inlineStr">
        <is>
          <t>Cuius Regio</t>
        </is>
      </c>
      <c r="C11" s="43" t="n">
        <v>8</v>
      </c>
      <c r="D11" s="43" t="n">
        <v>1</v>
      </c>
      <c r="E11" s="43" t="n">
        <v>2</v>
      </c>
      <c r="F11" s="43" t="n">
        <v>1</v>
      </c>
      <c r="G11" s="43" t="n">
        <v>4</v>
      </c>
      <c r="H11" s="44" t="inlineStr">
        <is>
          <t>NEW</t>
        </is>
      </c>
    </row>
    <row r="12" ht="15" customHeight="1" s="33">
      <c r="A12" s="45" t="n">
        <v>7</v>
      </c>
      <c r="B12" s="45" t="inlineStr">
        <is>
          <t>Cruzada y Revolución</t>
        </is>
      </c>
      <c r="C12" s="45" t="n">
        <v>7</v>
      </c>
      <c r="D12" s="45" t="n">
        <v>1</v>
      </c>
      <c r="E12" s="45" t="n">
        <v>1</v>
      </c>
      <c r="F12" s="45" t="n">
        <v>2</v>
      </c>
      <c r="G12" s="45" t="n">
        <v>4</v>
      </c>
      <c r="H12" s="40" t="inlineStr">
        <is>
          <t>+9</t>
        </is>
      </c>
    </row>
    <row r="13" ht="15" customHeight="1" s="33">
      <c r="A13" s="43" t="n">
        <v>8</v>
      </c>
      <c r="B13" s="43" t="inlineStr">
        <is>
          <t>Urban Operations</t>
        </is>
      </c>
      <c r="C13" s="43" t="n">
        <v>6</v>
      </c>
      <c r="D13" s="43" t="n">
        <v>2</v>
      </c>
      <c r="E13" s="43" t="n">
        <v>0</v>
      </c>
      <c r="F13" s="43" t="n">
        <v>0</v>
      </c>
      <c r="G13" s="43" t="n">
        <v>2</v>
      </c>
      <c r="H13" s="44" t="inlineStr">
        <is>
          <t>NEW</t>
        </is>
      </c>
    </row>
    <row r="14" ht="15" customHeight="1" s="33">
      <c r="A14" s="45" t="n">
        <v>9</v>
      </c>
      <c r="B14" s="45" t="inlineStr">
        <is>
          <t>Burning Banners</t>
        </is>
      </c>
      <c r="C14" s="45" t="n">
        <v>6</v>
      </c>
      <c r="D14" s="45" t="n">
        <v>1</v>
      </c>
      <c r="E14" s="45" t="n">
        <v>0</v>
      </c>
      <c r="F14" s="45" t="n">
        <v>3</v>
      </c>
      <c r="G14" s="45" t="n">
        <v>4</v>
      </c>
      <c r="H14" s="44" t="inlineStr">
        <is>
          <t>NEW</t>
        </is>
      </c>
    </row>
    <row r="15" ht="15" customHeight="1" s="33">
      <c r="A15" s="43" t="n">
        <v>10</v>
      </c>
      <c r="B15" s="43" t="inlineStr">
        <is>
          <t>Combat Commander</t>
        </is>
      </c>
      <c r="C15" s="43" t="n">
        <v>5</v>
      </c>
      <c r="D15" s="43" t="n">
        <v>0</v>
      </c>
      <c r="E15" s="43" t="n">
        <v>1</v>
      </c>
      <c r="F15" s="43" t="n">
        <v>3</v>
      </c>
      <c r="G15" s="43" t="n">
        <v>4</v>
      </c>
      <c r="H15" s="44" t="inlineStr">
        <is>
          <t>NEW</t>
        </is>
      </c>
    </row>
    <row r="16" ht="15" customHeight="1" s="33">
      <c r="A16" s="45" t="n">
        <v>11</v>
      </c>
      <c r="B16" s="45" t="inlineStr">
        <is>
          <t>For the People</t>
        </is>
      </c>
      <c r="C16" s="45" t="n">
        <v>4</v>
      </c>
      <c r="D16" s="45" t="n">
        <v>1</v>
      </c>
      <c r="E16" s="45" t="n">
        <v>0</v>
      </c>
      <c r="F16" s="45" t="n">
        <v>1</v>
      </c>
      <c r="G16" s="45" t="n">
        <v>2</v>
      </c>
      <c r="H16" s="44" t="inlineStr">
        <is>
          <t>NEW</t>
        </is>
      </c>
    </row>
    <row r="17" ht="15" customHeight="1" s="33">
      <c r="A17" s="43" t="n">
        <v>12</v>
      </c>
      <c r="B17" s="43" t="inlineStr">
        <is>
          <t>The russian campaign</t>
        </is>
      </c>
      <c r="C17" s="43" t="n">
        <v>4</v>
      </c>
      <c r="D17" s="43" t="n">
        <v>0</v>
      </c>
      <c r="E17" s="43" t="n">
        <v>1</v>
      </c>
      <c r="F17" s="43" t="n">
        <v>2</v>
      </c>
      <c r="G17" s="43" t="n">
        <v>3</v>
      </c>
      <c r="H17" s="40" t="inlineStr">
        <is>
          <t>+11</t>
        </is>
      </c>
    </row>
    <row r="18" ht="15" customHeight="1" s="33">
      <c r="A18" s="45" t="n">
        <v>13</v>
      </c>
      <c r="B18" s="45" t="inlineStr">
        <is>
          <t>Holland 44</t>
        </is>
      </c>
      <c r="C18" s="45" t="n">
        <v>4</v>
      </c>
      <c r="D18" s="45" t="n">
        <v>0</v>
      </c>
      <c r="E18" s="45" t="n">
        <v>2</v>
      </c>
      <c r="F18" s="45" t="n">
        <v>0</v>
      </c>
      <c r="G18" s="45" t="n">
        <v>2</v>
      </c>
      <c r="H18" s="44" t="inlineStr">
        <is>
          <t>NEW</t>
        </is>
      </c>
    </row>
    <row r="19" ht="15" customHeight="1" s="33">
      <c r="A19" s="43" t="n">
        <v>14</v>
      </c>
      <c r="B19" s="43" t="inlineStr">
        <is>
          <t>A Gest of Robin Hood</t>
        </is>
      </c>
      <c r="C19" s="43" t="n">
        <v>3</v>
      </c>
      <c r="D19" s="43" t="n">
        <v>1</v>
      </c>
      <c r="E19" s="43" t="n">
        <v>0</v>
      </c>
      <c r="F19" s="43" t="n">
        <v>0</v>
      </c>
      <c r="G19" s="43" t="n">
        <v>1</v>
      </c>
      <c r="H19" s="44" t="inlineStr">
        <is>
          <t>NEW</t>
        </is>
      </c>
    </row>
    <row r="20" ht="15" customHeight="1" s="33">
      <c r="A20" s="45" t="n">
        <v>15</v>
      </c>
      <c r="B20" s="45" t="inlineStr">
        <is>
          <t>Army of the Potomac</t>
        </is>
      </c>
      <c r="C20" s="45" t="n">
        <v>3</v>
      </c>
      <c r="D20" s="45" t="n">
        <v>1</v>
      </c>
      <c r="E20" s="45" t="n">
        <v>0</v>
      </c>
      <c r="F20" s="45" t="n">
        <v>0</v>
      </c>
      <c r="G20" s="45" t="n">
        <v>1</v>
      </c>
      <c r="H20" s="42" t="inlineStr">
        <is>
          <t>-10</t>
        </is>
      </c>
    </row>
    <row r="21" ht="15" customHeight="1" s="33">
      <c r="A21" s="43" t="n">
        <v>16</v>
      </c>
      <c r="B21" s="43" t="inlineStr">
        <is>
          <t>Attrition of Souls</t>
        </is>
      </c>
      <c r="C21" s="43" t="n">
        <v>3</v>
      </c>
      <c r="D21" s="43" t="n">
        <v>1</v>
      </c>
      <c r="E21" s="43" t="n">
        <v>0</v>
      </c>
      <c r="F21" s="43" t="n">
        <v>0</v>
      </c>
      <c r="G21" s="43" t="n">
        <v>1</v>
      </c>
      <c r="H21" s="44" t="inlineStr">
        <is>
          <t>NEW</t>
        </is>
      </c>
    </row>
    <row r="22" ht="15" customHeight="1" s="33">
      <c r="A22" s="45" t="n">
        <v>17</v>
      </c>
      <c r="B22" s="45" t="inlineStr">
        <is>
          <t>Barbarians at the Gates</t>
        </is>
      </c>
      <c r="C22" s="45" t="n">
        <v>3</v>
      </c>
      <c r="D22" s="45" t="n">
        <v>1</v>
      </c>
      <c r="E22" s="45" t="n">
        <v>0</v>
      </c>
      <c r="F22" s="45" t="n">
        <v>0</v>
      </c>
      <c r="G22" s="45" t="n">
        <v>1</v>
      </c>
      <c r="H22" s="44" t="inlineStr">
        <is>
          <t>NEW</t>
        </is>
      </c>
    </row>
    <row r="23" ht="15" customHeight="1" s="33">
      <c r="A23" s="43" t="n">
        <v>18</v>
      </c>
      <c r="B23" s="43" t="inlineStr">
        <is>
          <t>Close Quarters Battles: Waterloo</t>
        </is>
      </c>
      <c r="C23" s="43" t="n">
        <v>3</v>
      </c>
      <c r="D23" s="43" t="n">
        <v>1</v>
      </c>
      <c r="E23" s="43" t="n">
        <v>0</v>
      </c>
      <c r="F23" s="43" t="n">
        <v>0</v>
      </c>
      <c r="G23" s="43" t="n">
        <v>1</v>
      </c>
      <c r="H23" s="44" t="inlineStr">
        <is>
          <t>NEW</t>
        </is>
      </c>
    </row>
    <row r="24" ht="15" customHeight="1" s="33">
      <c r="A24" s="45" t="n">
        <v>19</v>
      </c>
      <c r="B24" s="45" t="inlineStr">
        <is>
          <t>Commands &amp; Colors: Napoleonics</t>
        </is>
      </c>
      <c r="C24" s="45" t="n">
        <v>3</v>
      </c>
      <c r="D24" s="45" t="n">
        <v>1</v>
      </c>
      <c r="E24" s="45" t="n">
        <v>0</v>
      </c>
      <c r="F24" s="45" t="n">
        <v>0</v>
      </c>
      <c r="G24" s="45" t="n">
        <v>1</v>
      </c>
      <c r="H24" s="44" t="inlineStr">
        <is>
          <t>NEW</t>
        </is>
      </c>
    </row>
    <row r="25" ht="15" customHeight="1" s="33">
      <c r="A25" s="43" t="n">
        <v>20</v>
      </c>
      <c r="B25" s="43" t="inlineStr">
        <is>
          <t>El imperio del sol</t>
        </is>
      </c>
      <c r="C25" s="43" t="n">
        <v>3</v>
      </c>
      <c r="D25" s="43" t="n">
        <v>1</v>
      </c>
      <c r="E25" s="43" t="n">
        <v>0</v>
      </c>
      <c r="F25" s="43" t="n">
        <v>0</v>
      </c>
      <c r="G25" s="43" t="n">
        <v>1</v>
      </c>
      <c r="H25" s="44" t="inlineStr">
        <is>
          <t>NEW</t>
        </is>
      </c>
    </row>
    <row r="26" ht="15" customHeight="1" s="33">
      <c r="A26" s="45" t="n">
        <v>21</v>
      </c>
      <c r="B26" s="45" t="inlineStr">
        <is>
          <t>Enemy Action: Kharkov</t>
        </is>
      </c>
      <c r="C26" s="45" t="n">
        <v>3</v>
      </c>
      <c r="D26" s="45" t="n">
        <v>1</v>
      </c>
      <c r="E26" s="45" t="n">
        <v>0</v>
      </c>
      <c r="F26" s="45" t="n">
        <v>0</v>
      </c>
      <c r="G26" s="45" t="n">
        <v>1</v>
      </c>
      <c r="H26" s="42" t="inlineStr">
        <is>
          <t>-14</t>
        </is>
      </c>
    </row>
    <row r="27" ht="15" customHeight="1" s="33">
      <c r="A27" s="43" t="n">
        <v>22</v>
      </c>
      <c r="B27" s="43" t="inlineStr">
        <is>
          <t>Labyrinth</t>
        </is>
      </c>
      <c r="C27" s="43" t="n">
        <v>3</v>
      </c>
      <c r="D27" s="43" t="n">
        <v>1</v>
      </c>
      <c r="E27" s="43" t="n">
        <v>0</v>
      </c>
      <c r="F27" s="43" t="n">
        <v>0</v>
      </c>
      <c r="G27" s="43" t="n">
        <v>1</v>
      </c>
      <c r="H27" s="44" t="inlineStr">
        <is>
          <t>NEW</t>
        </is>
      </c>
    </row>
    <row r="28" ht="15" customHeight="1" s="33">
      <c r="A28" s="45" t="n">
        <v>23</v>
      </c>
      <c r="B28" s="45" t="inlineStr">
        <is>
          <t>Normandy 44</t>
        </is>
      </c>
      <c r="C28" s="45" t="n">
        <v>3</v>
      </c>
      <c r="D28" s="45" t="n">
        <v>1</v>
      </c>
      <c r="E28" s="45" t="n">
        <v>0</v>
      </c>
      <c r="F28" s="45" t="n">
        <v>0</v>
      </c>
      <c r="G28" s="45" t="n">
        <v>1</v>
      </c>
      <c r="H28" s="44" t="inlineStr">
        <is>
          <t>NEW</t>
        </is>
      </c>
    </row>
    <row r="29" ht="15" customHeight="1" s="33">
      <c r="A29" s="43" t="n">
        <v>24</v>
      </c>
      <c r="B29" s="43" t="inlineStr">
        <is>
          <t>Onus!</t>
        </is>
      </c>
      <c r="C29" s="43" t="n">
        <v>3</v>
      </c>
      <c r="D29" s="43" t="n">
        <v>1</v>
      </c>
      <c r="E29" s="43" t="n">
        <v>0</v>
      </c>
      <c r="F29" s="43" t="n">
        <v>0</v>
      </c>
      <c r="G29" s="43" t="n">
        <v>1</v>
      </c>
      <c r="H29" s="42" t="inlineStr">
        <is>
          <t>-6</t>
        </is>
      </c>
    </row>
    <row r="30" ht="15" customHeight="1" s="33">
      <c r="A30" s="45" t="n">
        <v>25</v>
      </c>
      <c r="B30" s="45" t="inlineStr">
        <is>
          <t>Phantom Fury</t>
        </is>
      </c>
      <c r="C30" s="45" t="n">
        <v>3</v>
      </c>
      <c r="D30" s="45" t="n">
        <v>1</v>
      </c>
      <c r="E30" s="45" t="n">
        <v>0</v>
      </c>
      <c r="F30" s="45" t="n">
        <v>0</v>
      </c>
      <c r="G30" s="45" t="n">
        <v>1</v>
      </c>
      <c r="H30" s="44" t="inlineStr">
        <is>
          <t>NEW</t>
        </is>
      </c>
    </row>
    <row r="31" ht="15" customHeight="1" s="33">
      <c r="A31" s="43" t="n">
        <v>26</v>
      </c>
      <c r="B31" s="43" t="inlineStr">
        <is>
          <t>Stalingrad: The Savage Streets 1945</t>
        </is>
      </c>
      <c r="C31" s="43" t="n">
        <v>3</v>
      </c>
      <c r="D31" s="43" t="n">
        <v>1</v>
      </c>
      <c r="E31" s="43" t="n">
        <v>0</v>
      </c>
      <c r="F31" s="43" t="n">
        <v>0</v>
      </c>
      <c r="G31" s="43" t="n">
        <v>1</v>
      </c>
      <c r="H31" s="44" t="inlineStr">
        <is>
          <t>NEW</t>
        </is>
      </c>
    </row>
    <row r="32" ht="15" customHeight="1" s="33">
      <c r="A32" s="45" t="n">
        <v>27</v>
      </c>
      <c r="B32" s="45" t="inlineStr">
        <is>
          <t>Tanto Monta</t>
        </is>
      </c>
      <c r="C32" s="45" t="n">
        <v>3</v>
      </c>
      <c r="D32" s="45" t="n">
        <v>1</v>
      </c>
      <c r="E32" s="45" t="n">
        <v>0</v>
      </c>
      <c r="F32" s="45" t="n">
        <v>0</v>
      </c>
      <c r="G32" s="45" t="n">
        <v>1</v>
      </c>
      <c r="H32" s="44" t="inlineStr">
        <is>
          <t>NEW</t>
        </is>
      </c>
    </row>
    <row r="33" ht="15" customHeight="1" s="33">
      <c r="A33" s="43" t="n">
        <v>28</v>
      </c>
      <c r="B33" s="43" t="inlineStr">
        <is>
          <t>Triumph and Tragedy</t>
        </is>
      </c>
      <c r="C33" s="43" t="n">
        <v>3</v>
      </c>
      <c r="D33" s="43" t="n">
        <v>1</v>
      </c>
      <c r="E33" s="43" t="n">
        <v>0</v>
      </c>
      <c r="F33" s="43" t="n">
        <v>0</v>
      </c>
      <c r="G33" s="43" t="n">
        <v>1</v>
      </c>
      <c r="H33" s="40" t="inlineStr">
        <is>
          <t>+3</t>
        </is>
      </c>
    </row>
    <row r="34" ht="15" customHeight="1" s="33">
      <c r="A34" s="45" t="n">
        <v>29</v>
      </c>
      <c r="B34" s="45" t="inlineStr">
        <is>
          <t>Una Guerra Imposible</t>
        </is>
      </c>
      <c r="C34" s="45" t="n">
        <v>3</v>
      </c>
      <c r="D34" s="45" t="n">
        <v>1</v>
      </c>
      <c r="E34" s="45" t="n">
        <v>0</v>
      </c>
      <c r="F34" s="45" t="n">
        <v>0</v>
      </c>
      <c r="G34" s="45" t="n">
        <v>1</v>
      </c>
      <c r="H34" s="44" t="inlineStr">
        <is>
          <t>NEW</t>
        </is>
      </c>
    </row>
    <row r="35" ht="15" customHeight="1" s="33">
      <c r="A35" s="43" t="n">
        <v>30</v>
      </c>
      <c r="B35" s="43" t="inlineStr">
        <is>
          <t>Washington's War</t>
        </is>
      </c>
      <c r="C35" s="43" t="n">
        <v>3</v>
      </c>
      <c r="D35" s="43" t="n">
        <v>1</v>
      </c>
      <c r="E35" s="43" t="n">
        <v>0</v>
      </c>
      <c r="F35" s="43" t="n">
        <v>0</v>
      </c>
      <c r="G35" s="43" t="n">
        <v>1</v>
      </c>
      <c r="H35" s="40" t="inlineStr">
        <is>
          <t>+5</t>
        </is>
      </c>
    </row>
    <row r="36" ht="15" customHeight="1" s="33">
      <c r="A36" s="45" t="n">
        <v>31</v>
      </c>
      <c r="B36" s="45" t="inlineStr">
        <is>
          <t>Asturias 1936-1937</t>
        </is>
      </c>
      <c r="C36" s="45" t="n">
        <v>3</v>
      </c>
      <c r="D36" s="45" t="n">
        <v>0</v>
      </c>
      <c r="E36" s="45" t="n">
        <v>1</v>
      </c>
      <c r="F36" s="45" t="n">
        <v>1</v>
      </c>
      <c r="G36" s="45" t="n">
        <v>2</v>
      </c>
      <c r="H36" s="44" t="inlineStr">
        <is>
          <t>NEW</t>
        </is>
      </c>
    </row>
    <row r="37" ht="15" customHeight="1" s="33">
      <c r="A37" s="43" t="n">
        <v>32</v>
      </c>
      <c r="B37" s="43" t="inlineStr">
        <is>
          <t>Hispania</t>
        </is>
      </c>
      <c r="C37" s="43" t="n">
        <v>3</v>
      </c>
      <c r="D37" s="43" t="n">
        <v>0</v>
      </c>
      <c r="E37" s="43" t="n">
        <v>1</v>
      </c>
      <c r="F37" s="43" t="n">
        <v>1</v>
      </c>
      <c r="G37" s="43" t="n">
        <v>2</v>
      </c>
      <c r="H37" s="44" t="inlineStr">
        <is>
          <t>NEW</t>
        </is>
      </c>
    </row>
    <row r="38" ht="15" customHeight="1" s="33">
      <c r="A38" s="45" t="n">
        <v>33</v>
      </c>
      <c r="B38" s="45" t="inlineStr">
        <is>
          <t>2 Minutos para la Medianoche</t>
        </is>
      </c>
      <c r="C38" s="45" t="n">
        <v>2</v>
      </c>
      <c r="D38" s="45" t="n">
        <v>0</v>
      </c>
      <c r="E38" s="45" t="n">
        <v>0</v>
      </c>
      <c r="F38" s="45" t="n">
        <v>2</v>
      </c>
      <c r="G38" s="45" t="n">
        <v>2</v>
      </c>
      <c r="H38" s="44" t="inlineStr">
        <is>
          <t>NEW</t>
        </is>
      </c>
    </row>
    <row r="39" ht="15" customHeight="1" s="33">
      <c r="A39" s="43" t="n">
        <v>34</v>
      </c>
      <c r="B39" s="43" t="inlineStr">
        <is>
          <t>Coast Watchers</t>
        </is>
      </c>
      <c r="C39" s="43" t="n">
        <v>2</v>
      </c>
      <c r="D39" s="43" t="n">
        <v>0</v>
      </c>
      <c r="E39" s="43" t="n">
        <v>0</v>
      </c>
      <c r="F39" s="43" t="n">
        <v>2</v>
      </c>
      <c r="G39" s="43" t="n">
        <v>2</v>
      </c>
      <c r="H39" s="44" t="inlineStr">
        <is>
          <t>NEW</t>
        </is>
      </c>
    </row>
    <row r="40" ht="15" customHeight="1" s="33">
      <c r="A40" s="45" t="n">
        <v>35</v>
      </c>
      <c r="B40" s="45" t="inlineStr">
        <is>
          <t>Star Wars: La Batalla de Hoth</t>
        </is>
      </c>
      <c r="C40" s="45" t="n">
        <v>2</v>
      </c>
      <c r="D40" s="45" t="n">
        <v>0</v>
      </c>
      <c r="E40" s="45" t="n">
        <v>0</v>
      </c>
      <c r="F40" s="45" t="n">
        <v>2</v>
      </c>
      <c r="G40" s="45" t="n">
        <v>2</v>
      </c>
      <c r="H40" s="42" t="inlineStr">
        <is>
          <t>-13</t>
        </is>
      </c>
    </row>
    <row r="41" ht="15" customHeight="1" s="33">
      <c r="A41" s="43" t="n">
        <v>36</v>
      </c>
      <c r="B41" s="43" t="inlineStr">
        <is>
          <t>13 Días</t>
        </is>
      </c>
      <c r="C41" s="43" t="n">
        <v>2</v>
      </c>
      <c r="D41" s="43" t="n">
        <v>0</v>
      </c>
      <c r="E41" s="43" t="n">
        <v>1</v>
      </c>
      <c r="F41" s="43" t="n">
        <v>0</v>
      </c>
      <c r="G41" s="43" t="n">
        <v>1</v>
      </c>
      <c r="H41" s="44" t="inlineStr">
        <is>
          <t>NEW</t>
        </is>
      </c>
    </row>
    <row r="42" ht="15" customHeight="1" s="33">
      <c r="A42" s="45" t="n">
        <v>37</v>
      </c>
      <c r="B42" s="45" t="inlineStr">
        <is>
          <t>Carrier Battle: Philippine Sea</t>
        </is>
      </c>
      <c r="C42" s="45" t="n">
        <v>2</v>
      </c>
      <c r="D42" s="45" t="n">
        <v>0</v>
      </c>
      <c r="E42" s="45" t="n">
        <v>1</v>
      </c>
      <c r="F42" s="45" t="n">
        <v>0</v>
      </c>
      <c r="G42" s="45" t="n">
        <v>1</v>
      </c>
      <c r="H42" s="44" t="inlineStr">
        <is>
          <t>NEW</t>
        </is>
      </c>
    </row>
    <row r="43" ht="15" customHeight="1" s="33">
      <c r="A43" s="43" t="n">
        <v>38</v>
      </c>
      <c r="B43" s="43" t="inlineStr">
        <is>
          <t>Celles</t>
        </is>
      </c>
      <c r="C43" s="43" t="n">
        <v>2</v>
      </c>
      <c r="D43" s="43" t="n">
        <v>0</v>
      </c>
      <c r="E43" s="43" t="n">
        <v>1</v>
      </c>
      <c r="F43" s="43" t="n">
        <v>0</v>
      </c>
      <c r="G43" s="43" t="n">
        <v>1</v>
      </c>
      <c r="H43" s="44" t="inlineStr">
        <is>
          <t>NEW</t>
        </is>
      </c>
    </row>
    <row r="44" ht="15" customHeight="1" s="33">
      <c r="A44" s="45" t="n">
        <v>39</v>
      </c>
      <c r="B44" s="45" t="inlineStr">
        <is>
          <t>Comancheria</t>
        </is>
      </c>
      <c r="C44" s="45" t="n">
        <v>2</v>
      </c>
      <c r="D44" s="45" t="n">
        <v>0</v>
      </c>
      <c r="E44" s="45" t="n">
        <v>1</v>
      </c>
      <c r="F44" s="45" t="n">
        <v>0</v>
      </c>
      <c r="G44" s="45" t="n">
        <v>1</v>
      </c>
      <c r="H44" s="44" t="inlineStr">
        <is>
          <t>NEW</t>
        </is>
      </c>
    </row>
    <row r="45" ht="15" customHeight="1" s="33">
      <c r="A45" s="43" t="n">
        <v>40</v>
      </c>
      <c r="B45" s="43" t="inlineStr">
        <is>
          <t>Dune: War for Arrakis</t>
        </is>
      </c>
      <c r="C45" s="43" t="n">
        <v>2</v>
      </c>
      <c r="D45" s="43" t="n">
        <v>0</v>
      </c>
      <c r="E45" s="43" t="n">
        <v>1</v>
      </c>
      <c r="F45" s="43" t="n">
        <v>0</v>
      </c>
      <c r="G45" s="43" t="n">
        <v>1</v>
      </c>
      <c r="H45" s="42" t="inlineStr">
        <is>
          <t>-37</t>
        </is>
      </c>
    </row>
    <row r="46" ht="15" customHeight="1" s="33">
      <c r="A46" s="45" t="n">
        <v>41</v>
      </c>
      <c r="B46" s="45" t="inlineStr">
        <is>
          <t>Guerrilla Generation</t>
        </is>
      </c>
      <c r="C46" s="45" t="n">
        <v>2</v>
      </c>
      <c r="D46" s="45" t="n">
        <v>0</v>
      </c>
      <c r="E46" s="45" t="n">
        <v>1</v>
      </c>
      <c r="F46" s="45" t="n">
        <v>0</v>
      </c>
      <c r="G46" s="45" t="n">
        <v>1</v>
      </c>
      <c r="H46" s="44" t="inlineStr">
        <is>
          <t>NEW</t>
        </is>
      </c>
    </row>
    <row r="47" ht="15" customHeight="1" s="33">
      <c r="A47" s="43" t="n">
        <v>42</v>
      </c>
      <c r="B47" s="43" t="inlineStr">
        <is>
          <t>Hearts &amp; Minds</t>
        </is>
      </c>
      <c r="C47" s="43" t="n">
        <v>2</v>
      </c>
      <c r="D47" s="43" t="n">
        <v>0</v>
      </c>
      <c r="E47" s="43" t="n">
        <v>1</v>
      </c>
      <c r="F47" s="43" t="n">
        <v>0</v>
      </c>
      <c r="G47" s="43" t="n">
        <v>1</v>
      </c>
      <c r="H47" s="44" t="inlineStr">
        <is>
          <t>NEW</t>
        </is>
      </c>
    </row>
    <row r="48" ht="15" customHeight="1" s="33">
      <c r="A48" s="45" t="n">
        <v>43</v>
      </c>
      <c r="B48" s="45" t="inlineStr">
        <is>
          <t>Koningsberg</t>
        </is>
      </c>
      <c r="C48" s="45" t="n">
        <v>2</v>
      </c>
      <c r="D48" s="45" t="n">
        <v>0</v>
      </c>
      <c r="E48" s="45" t="n">
        <v>1</v>
      </c>
      <c r="F48" s="45" t="n">
        <v>0</v>
      </c>
      <c r="G48" s="45" t="n">
        <v>1</v>
      </c>
      <c r="H48" s="44" t="inlineStr">
        <is>
          <t>NEW</t>
        </is>
      </c>
    </row>
    <row r="49" ht="15" customHeight="1" s="33">
      <c r="A49" s="43" t="n">
        <v>44</v>
      </c>
      <c r="B49" s="43" t="inlineStr">
        <is>
          <t>Maneuver Warfare</t>
        </is>
      </c>
      <c r="C49" s="43" t="n">
        <v>2</v>
      </c>
      <c r="D49" s="43" t="n">
        <v>0</v>
      </c>
      <c r="E49" s="43" t="n">
        <v>1</v>
      </c>
      <c r="F49" s="43" t="n">
        <v>0</v>
      </c>
      <c r="G49" s="43" t="n">
        <v>1</v>
      </c>
      <c r="H49" s="44" t="inlineStr">
        <is>
          <t>NEW</t>
        </is>
      </c>
    </row>
    <row r="50" ht="15" customHeight="1" s="33">
      <c r="A50" s="45" t="n">
        <v>45</v>
      </c>
      <c r="B50" s="45" t="inlineStr">
        <is>
          <t>Model's Counterattack</t>
        </is>
      </c>
      <c r="C50" s="45" t="n">
        <v>2</v>
      </c>
      <c r="D50" s="45" t="n">
        <v>0</v>
      </c>
      <c r="E50" s="45" t="n">
        <v>1</v>
      </c>
      <c r="F50" s="45" t="n">
        <v>0</v>
      </c>
      <c r="G50" s="45" t="n">
        <v>1</v>
      </c>
      <c r="H50" s="44" t="inlineStr">
        <is>
          <t>NEW</t>
        </is>
      </c>
    </row>
    <row r="51" ht="15" customHeight="1" s="33">
      <c r="A51" s="43" t="n">
        <v>46</v>
      </c>
      <c r="B51" s="43" t="inlineStr">
        <is>
          <t>Modern Tactics #1: Afghanistan</t>
        </is>
      </c>
      <c r="C51" s="43" t="n">
        <v>2</v>
      </c>
      <c r="D51" s="43" t="n">
        <v>0</v>
      </c>
      <c r="E51" s="43" t="n">
        <v>1</v>
      </c>
      <c r="F51" s="43" t="n">
        <v>0</v>
      </c>
      <c r="G51" s="43" t="n">
        <v>1</v>
      </c>
      <c r="H51" s="44" t="inlineStr">
        <is>
          <t>NEW</t>
        </is>
      </c>
    </row>
    <row r="52" ht="15" customHeight="1" s="33">
      <c r="A52" s="45" t="n">
        <v>47</v>
      </c>
      <c r="B52" s="45" t="inlineStr">
        <is>
          <t>Next War: Iran</t>
        </is>
      </c>
      <c r="C52" s="45" t="n">
        <v>2</v>
      </c>
      <c r="D52" s="45" t="n">
        <v>0</v>
      </c>
      <c r="E52" s="45" t="n">
        <v>1</v>
      </c>
      <c r="F52" s="45" t="n">
        <v>0</v>
      </c>
      <c r="G52" s="45" t="n">
        <v>1</v>
      </c>
      <c r="H52" s="42" t="inlineStr">
        <is>
          <t>-21</t>
        </is>
      </c>
    </row>
    <row r="53" ht="15" customHeight="1" s="33">
      <c r="A53" s="43" t="n">
        <v>48</v>
      </c>
      <c r="B53" s="43" t="inlineStr">
        <is>
          <t>Operation Overlord</t>
        </is>
      </c>
      <c r="C53" s="43" t="n">
        <v>2</v>
      </c>
      <c r="D53" s="43" t="n">
        <v>0</v>
      </c>
      <c r="E53" s="43" t="n">
        <v>1</v>
      </c>
      <c r="F53" s="43" t="n">
        <v>0</v>
      </c>
      <c r="G53" s="43" t="n">
        <v>1</v>
      </c>
      <c r="H53" s="42" t="inlineStr">
        <is>
          <t>-19</t>
        </is>
      </c>
    </row>
    <row r="54" ht="15" customHeight="1" s="33">
      <c r="A54" s="45" t="n">
        <v>49</v>
      </c>
      <c r="B54" s="45" t="inlineStr">
        <is>
          <t>Pampero</t>
        </is>
      </c>
      <c r="C54" s="45" t="n">
        <v>2</v>
      </c>
      <c r="D54" s="45" t="n">
        <v>0</v>
      </c>
      <c r="E54" s="45" t="n">
        <v>1</v>
      </c>
      <c r="F54" s="45" t="n">
        <v>0</v>
      </c>
      <c r="G54" s="45" t="n">
        <v>1</v>
      </c>
      <c r="H54" s="44" t="inlineStr">
        <is>
          <t>NEW</t>
        </is>
      </c>
    </row>
    <row r="55" ht="15" customHeight="1" s="33">
      <c r="A55" s="43" t="n">
        <v>50</v>
      </c>
      <c r="B55" s="43" t="inlineStr">
        <is>
          <t>Pursuit of Glory</t>
        </is>
      </c>
      <c r="C55" s="43" t="n">
        <v>2</v>
      </c>
      <c r="D55" s="43" t="n">
        <v>0</v>
      </c>
      <c r="E55" s="43" t="n">
        <v>1</v>
      </c>
      <c r="F55" s="43" t="n">
        <v>0</v>
      </c>
      <c r="G55" s="43" t="n">
        <v>1</v>
      </c>
      <c r="H55" s="42" t="inlineStr">
        <is>
          <t>-31</t>
        </is>
      </c>
    </row>
    <row r="56" ht="15" customHeight="1" s="33">
      <c r="A56" s="45" t="n">
        <v>51</v>
      </c>
      <c r="B56" s="45" t="inlineStr">
        <is>
          <t>Quartermaster General: South Front</t>
        </is>
      </c>
      <c r="C56" s="45" t="n">
        <v>2</v>
      </c>
      <c r="D56" s="45" t="n">
        <v>0</v>
      </c>
      <c r="E56" s="45" t="n">
        <v>1</v>
      </c>
      <c r="F56" s="45" t="n">
        <v>0</v>
      </c>
      <c r="G56" s="45" t="n">
        <v>1</v>
      </c>
      <c r="H56" s="42" t="inlineStr">
        <is>
          <t>-47</t>
        </is>
      </c>
    </row>
    <row r="57" ht="15" customHeight="1" s="33">
      <c r="A57" s="43" t="n">
        <v>52</v>
      </c>
      <c r="B57" s="43" t="inlineStr">
        <is>
          <t>Quartermaster General: West Front</t>
        </is>
      </c>
      <c r="C57" s="43" t="n">
        <v>2</v>
      </c>
      <c r="D57" s="43" t="n">
        <v>0</v>
      </c>
      <c r="E57" s="43" t="n">
        <v>1</v>
      </c>
      <c r="F57" s="43" t="n">
        <v>0</v>
      </c>
      <c r="G57" s="43" t="n">
        <v>1</v>
      </c>
      <c r="H57" s="44" t="inlineStr">
        <is>
          <t>NEW</t>
        </is>
      </c>
    </row>
    <row r="58" ht="15" customHeight="1" s="33">
      <c r="A58" s="45" t="n">
        <v>53</v>
      </c>
      <c r="B58" s="45" t="inlineStr">
        <is>
          <t>Stalin's War</t>
        </is>
      </c>
      <c r="C58" s="45" t="n">
        <v>2</v>
      </c>
      <c r="D58" s="45" t="n">
        <v>0</v>
      </c>
      <c r="E58" s="45" t="n">
        <v>1</v>
      </c>
      <c r="F58" s="45" t="n">
        <v>0</v>
      </c>
      <c r="G58" s="45" t="n">
        <v>1</v>
      </c>
      <c r="H58" s="44" t="inlineStr">
        <is>
          <t>NEW</t>
        </is>
      </c>
    </row>
    <row r="59" ht="15" customHeight="1" s="33">
      <c r="A59" s="43" t="n">
        <v>54</v>
      </c>
      <c r="B59" s="43" t="inlineStr">
        <is>
          <t>The Great Battles of Alexander (GBoH)</t>
        </is>
      </c>
      <c r="C59" s="43" t="n">
        <v>2</v>
      </c>
      <c r="D59" s="43" t="n">
        <v>0</v>
      </c>
      <c r="E59" s="43" t="n">
        <v>1</v>
      </c>
      <c r="F59" s="43" t="n">
        <v>0</v>
      </c>
      <c r="G59" s="43" t="n">
        <v>1</v>
      </c>
      <c r="H59" s="44" t="inlineStr">
        <is>
          <t>NEW</t>
        </is>
      </c>
    </row>
    <row r="60" ht="15" customHeight="1" s="33">
      <c r="A60" s="45" t="n">
        <v>55</v>
      </c>
      <c r="B60" s="45" t="inlineStr">
        <is>
          <t>Three days of Gettysburg</t>
        </is>
      </c>
      <c r="C60" s="45" t="n">
        <v>2</v>
      </c>
      <c r="D60" s="45" t="n">
        <v>0</v>
      </c>
      <c r="E60" s="45" t="n">
        <v>1</v>
      </c>
      <c r="F60" s="45" t="n">
        <v>0</v>
      </c>
      <c r="G60" s="45" t="n">
        <v>1</v>
      </c>
      <c r="H60" s="42" t="inlineStr">
        <is>
          <t>-43</t>
        </is>
      </c>
    </row>
    <row r="61" ht="15" customHeight="1" s="33">
      <c r="A61" s="43" t="n">
        <v>56</v>
      </c>
      <c r="B61" s="43" t="inlineStr">
        <is>
          <t>Triumph of Chaos</t>
        </is>
      </c>
      <c r="C61" s="43" t="n">
        <v>2</v>
      </c>
      <c r="D61" s="43" t="n">
        <v>0</v>
      </c>
      <c r="E61" s="43" t="n">
        <v>1</v>
      </c>
      <c r="F61" s="43" t="n">
        <v>0</v>
      </c>
      <c r="G61" s="43" t="n">
        <v>1</v>
      </c>
      <c r="H61" s="44" t="inlineStr">
        <is>
          <t>NEW</t>
        </is>
      </c>
    </row>
    <row r="62" ht="15" customHeight="1" s="33">
      <c r="A62" s="45" t="n">
        <v>57</v>
      </c>
      <c r="B62" s="45" t="inlineStr">
        <is>
          <t>Undaunted Normandy</t>
        </is>
      </c>
      <c r="C62" s="45" t="n">
        <v>2</v>
      </c>
      <c r="D62" s="45" t="n">
        <v>0</v>
      </c>
      <c r="E62" s="45" t="n">
        <v>1</v>
      </c>
      <c r="F62" s="45" t="n">
        <v>0</v>
      </c>
      <c r="G62" s="45" t="n">
        <v>1</v>
      </c>
      <c r="H62" s="44" t="inlineStr">
        <is>
          <t>NEW</t>
        </is>
      </c>
    </row>
    <row r="63" ht="15" customHeight="1" s="33">
      <c r="A63" s="43" t="n">
        <v>58</v>
      </c>
      <c r="B63" s="43" t="inlineStr">
        <is>
          <t>Undaunted Stalingrad</t>
        </is>
      </c>
      <c r="C63" s="43" t="n">
        <v>2</v>
      </c>
      <c r="D63" s="43" t="n">
        <v>0</v>
      </c>
      <c r="E63" s="43" t="n">
        <v>1</v>
      </c>
      <c r="F63" s="43" t="n">
        <v>0</v>
      </c>
      <c r="G63" s="43" t="n">
        <v>1</v>
      </c>
      <c r="H63" s="42" t="inlineStr">
        <is>
          <t>-34</t>
        </is>
      </c>
    </row>
    <row r="64" ht="15" customHeight="1" s="33">
      <c r="A64" s="45" t="n">
        <v>59</v>
      </c>
      <c r="B64" s="45" t="inlineStr">
        <is>
          <t>Warfare: Modern Tactical Combat</t>
        </is>
      </c>
      <c r="C64" s="45" t="n">
        <v>2</v>
      </c>
      <c r="D64" s="45" t="n">
        <v>0</v>
      </c>
      <c r="E64" s="45" t="n">
        <v>1</v>
      </c>
      <c r="F64" s="45" t="n">
        <v>0</v>
      </c>
      <c r="G64" s="45" t="n">
        <v>1</v>
      </c>
      <c r="H64" s="44" t="inlineStr">
        <is>
          <t>NEW</t>
        </is>
      </c>
    </row>
    <row r="65" ht="15" customHeight="1" s="33">
      <c r="A65" s="43" t="n">
        <v>60</v>
      </c>
      <c r="B65" s="43" t="inlineStr">
        <is>
          <t>300: Tierra y Agua</t>
        </is>
      </c>
      <c r="C65" s="43" t="n">
        <v>1</v>
      </c>
      <c r="D65" s="43" t="n">
        <v>0</v>
      </c>
      <c r="E65" s="43" t="n">
        <v>0</v>
      </c>
      <c r="F65" s="43" t="n">
        <v>1</v>
      </c>
      <c r="G65" s="43" t="n">
        <v>1</v>
      </c>
      <c r="H65" s="42" t="inlineStr">
        <is>
          <t>-35</t>
        </is>
      </c>
    </row>
    <row r="66" ht="15" customHeight="1" s="33">
      <c r="A66" s="45" t="n">
        <v>61</v>
      </c>
      <c r="B66" s="45" t="inlineStr">
        <is>
          <t>Air and Armor</t>
        </is>
      </c>
      <c r="C66" s="45" t="n">
        <v>1</v>
      </c>
      <c r="D66" s="45" t="n">
        <v>0</v>
      </c>
      <c r="E66" s="45" t="n">
        <v>0</v>
      </c>
      <c r="F66" s="45" t="n">
        <v>1</v>
      </c>
      <c r="G66" s="45" t="n">
        <v>1</v>
      </c>
      <c r="H66" s="44" t="inlineStr">
        <is>
          <t>NEW</t>
        </is>
      </c>
    </row>
    <row r="67" ht="15" customHeight="1" s="33">
      <c r="A67" s="43" t="n">
        <v>62</v>
      </c>
      <c r="B67" s="43" t="inlineStr">
        <is>
          <t>Asalto a Madrid</t>
        </is>
      </c>
      <c r="C67" s="43" t="n">
        <v>1</v>
      </c>
      <c r="D67" s="43" t="n">
        <v>0</v>
      </c>
      <c r="E67" s="43" t="n">
        <v>0</v>
      </c>
      <c r="F67" s="43" t="n">
        <v>1</v>
      </c>
      <c r="G67" s="43" t="n">
        <v>1</v>
      </c>
      <c r="H67" s="44" t="inlineStr">
        <is>
          <t>NEW</t>
        </is>
      </c>
    </row>
    <row r="68" ht="15" customHeight="1" s="33">
      <c r="A68" s="45" t="n">
        <v>63</v>
      </c>
      <c r="B68" s="45" t="inlineStr">
        <is>
          <t>Coalitions</t>
        </is>
      </c>
      <c r="C68" s="45" t="n">
        <v>1</v>
      </c>
      <c r="D68" s="45" t="n">
        <v>0</v>
      </c>
      <c r="E68" s="45" t="n">
        <v>0</v>
      </c>
      <c r="F68" s="45" t="n">
        <v>1</v>
      </c>
      <c r="G68" s="45" t="n">
        <v>1</v>
      </c>
      <c r="H68" s="44" t="inlineStr">
        <is>
          <t>NEW</t>
        </is>
      </c>
    </row>
    <row r="69" ht="15" customHeight="1" s="33">
      <c r="A69" s="43" t="n">
        <v>64</v>
      </c>
      <c r="B69" s="43" t="inlineStr">
        <is>
          <t>Congress of Vienna</t>
        </is>
      </c>
      <c r="C69" s="43" t="n">
        <v>1</v>
      </c>
      <c r="D69" s="43" t="n">
        <v>0</v>
      </c>
      <c r="E69" s="43" t="n">
        <v>0</v>
      </c>
      <c r="F69" s="43" t="n">
        <v>1</v>
      </c>
      <c r="G69" s="43" t="n">
        <v>1</v>
      </c>
      <c r="H69" s="44" t="inlineStr">
        <is>
          <t>NEW</t>
        </is>
      </c>
    </row>
    <row r="70" ht="15" customHeight="1" s="33">
      <c r="A70" s="45" t="n">
        <v>65</v>
      </c>
      <c r="B70" s="45" t="inlineStr">
        <is>
          <t>El Rey Planeta</t>
        </is>
      </c>
      <c r="C70" s="45" t="n">
        <v>1</v>
      </c>
      <c r="D70" s="45" t="n">
        <v>0</v>
      </c>
      <c r="E70" s="45" t="n">
        <v>0</v>
      </c>
      <c r="F70" s="45" t="n">
        <v>1</v>
      </c>
      <c r="G70" s="45" t="n">
        <v>1</v>
      </c>
      <c r="H70" s="44" t="inlineStr">
        <is>
          <t>NEW</t>
        </is>
      </c>
    </row>
    <row r="71" ht="15" customHeight="1" s="33">
      <c r="A71" s="43" t="n">
        <v>66</v>
      </c>
      <c r="B71" s="43" t="inlineStr">
        <is>
          <t>Fighting Formations</t>
        </is>
      </c>
      <c r="C71" s="43" t="n">
        <v>1</v>
      </c>
      <c r="D71" s="43" t="n">
        <v>0</v>
      </c>
      <c r="E71" s="43" t="n">
        <v>0</v>
      </c>
      <c r="F71" s="43" t="n">
        <v>1</v>
      </c>
      <c r="G71" s="43" t="n">
        <v>1</v>
      </c>
      <c r="H71" s="44" t="inlineStr">
        <is>
          <t>NEW</t>
        </is>
      </c>
    </row>
    <row r="72" ht="15" customHeight="1" s="33">
      <c r="A72" s="45" t="n">
        <v>67</v>
      </c>
      <c r="B72" s="45" t="inlineStr">
        <is>
          <t>Help Arrives!</t>
        </is>
      </c>
      <c r="C72" s="45" t="n">
        <v>1</v>
      </c>
      <c r="D72" s="45" t="n">
        <v>0</v>
      </c>
      <c r="E72" s="45" t="n">
        <v>0</v>
      </c>
      <c r="F72" s="45" t="n">
        <v>1</v>
      </c>
      <c r="G72" s="45" t="n">
        <v>1</v>
      </c>
      <c r="H72" s="44" t="inlineStr">
        <is>
          <t>NEW</t>
        </is>
      </c>
    </row>
    <row r="73" ht="15" customHeight="1" s="33">
      <c r="A73" s="43" t="n">
        <v>68</v>
      </c>
      <c r="B73" s="43" t="inlineStr">
        <is>
          <t>Hoplite</t>
        </is>
      </c>
      <c r="C73" s="43" t="n">
        <v>1</v>
      </c>
      <c r="D73" s="43" t="n">
        <v>0</v>
      </c>
      <c r="E73" s="43" t="n">
        <v>0</v>
      </c>
      <c r="F73" s="43" t="n">
        <v>1</v>
      </c>
      <c r="G73" s="43" t="n">
        <v>1</v>
      </c>
      <c r="H73" s="44" t="inlineStr">
        <is>
          <t>NEW</t>
        </is>
      </c>
    </row>
    <row r="74" ht="15" customHeight="1" s="33">
      <c r="A74" s="45" t="n">
        <v>69</v>
      </c>
      <c r="B74" s="45" t="inlineStr">
        <is>
          <t>La Guerra de la Triple Alianza</t>
        </is>
      </c>
      <c r="C74" s="45" t="n">
        <v>1</v>
      </c>
      <c r="D74" s="45" t="n">
        <v>0</v>
      </c>
      <c r="E74" s="45" t="n">
        <v>0</v>
      </c>
      <c r="F74" s="45" t="n">
        <v>1</v>
      </c>
      <c r="G74" s="45" t="n">
        <v>1</v>
      </c>
      <c r="H74" s="44" t="inlineStr">
        <is>
          <t>NEW</t>
        </is>
      </c>
    </row>
    <row r="75" ht="15" customHeight="1" s="33">
      <c r="A75" s="43" t="n">
        <v>70</v>
      </c>
      <c r="B75" s="43" t="inlineStr">
        <is>
          <t>María</t>
        </is>
      </c>
      <c r="C75" s="43" t="n">
        <v>1</v>
      </c>
      <c r="D75" s="43" t="n">
        <v>0</v>
      </c>
      <c r="E75" s="43" t="n">
        <v>0</v>
      </c>
      <c r="F75" s="43" t="n">
        <v>1</v>
      </c>
      <c r="G75" s="43" t="n">
        <v>1</v>
      </c>
      <c r="H75" s="44" t="inlineStr">
        <is>
          <t>NEW</t>
        </is>
      </c>
    </row>
    <row r="76" ht="15" customHeight="1" s="33">
      <c r="A76" s="45" t="n">
        <v>71</v>
      </c>
      <c r="B76" s="45" t="inlineStr">
        <is>
          <t>SCS Fallschimjaeger</t>
        </is>
      </c>
      <c r="C76" s="45" t="n">
        <v>1</v>
      </c>
      <c r="D76" s="45" t="n">
        <v>0</v>
      </c>
      <c r="E76" s="45" t="n">
        <v>0</v>
      </c>
      <c r="F76" s="45" t="n">
        <v>1</v>
      </c>
      <c r="G76" s="45" t="n">
        <v>1</v>
      </c>
      <c r="H76" s="42" t="inlineStr">
        <is>
          <t>-41</t>
        </is>
      </c>
    </row>
    <row r="77" ht="15" customHeight="1" s="33">
      <c r="A77" s="43" t="n">
        <v>72</v>
      </c>
      <c r="B77" s="43" t="inlineStr">
        <is>
          <t>Stonewall Jackson Way II</t>
        </is>
      </c>
      <c r="C77" s="43" t="n">
        <v>1</v>
      </c>
      <c r="D77" s="43" t="n">
        <v>0</v>
      </c>
      <c r="E77" s="43" t="n">
        <v>0</v>
      </c>
      <c r="F77" s="43" t="n">
        <v>1</v>
      </c>
      <c r="G77" s="43" t="n">
        <v>1</v>
      </c>
      <c r="H77" s="44" t="inlineStr">
        <is>
          <t>NEW</t>
        </is>
      </c>
    </row>
    <row r="78" ht="15" customHeight="1" s="33">
      <c r="A78" s="45" t="n">
        <v>73</v>
      </c>
      <c r="B78" s="45" t="inlineStr">
        <is>
          <t>Totaler Krieg!</t>
        </is>
      </c>
      <c r="C78" s="45" t="n">
        <v>1</v>
      </c>
      <c r="D78" s="45" t="n">
        <v>0</v>
      </c>
      <c r="E78" s="45" t="n">
        <v>0</v>
      </c>
      <c r="F78" s="45" t="n">
        <v>1</v>
      </c>
      <c r="G78" s="45" t="n">
        <v>1</v>
      </c>
      <c r="H78" s="44" t="inlineStr">
        <is>
          <t>NEW</t>
        </is>
      </c>
    </row>
    <row r="79" ht="15" customHeight="1" s="33">
      <c r="A79" s="43" t="n">
        <v>74</v>
      </c>
      <c r="B79" s="43" t="inlineStr">
        <is>
          <t>Verdun: Steel Inferno</t>
        </is>
      </c>
      <c r="C79" s="43" t="n">
        <v>1</v>
      </c>
      <c r="D79" s="43" t="n">
        <v>0</v>
      </c>
      <c r="E79" s="43" t="n">
        <v>0</v>
      </c>
      <c r="F79" s="43" t="n">
        <v>1</v>
      </c>
      <c r="G79" s="43" t="n">
        <v>1</v>
      </c>
      <c r="H79" s="44" t="inlineStr">
        <is>
          <t>NEW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48" customWidth="1" style="32" min="2" max="2"/>
    <col width="10" customWidth="1" style="32" min="3" max="7"/>
  </cols>
  <sheetData>
    <row r="1" ht="17.35" customHeight="1" s="33">
      <c r="A1" s="34" t="inlineStr">
        <is>
          <t>POWER RANKING VIS BÉLICA — AGOSTO 2026</t>
        </is>
      </c>
    </row>
    <row r="2" ht="15" customHeight="1" s="33">
      <c r="A2" s="35" t="inlineStr">
        <is>
          <t>Score = 0,7×norm.ago + 0,3×(0,5×jul + 0,3×jun + 0,2×may)  |  Normalizado sobre votantes con wargame de cada mes</t>
        </is>
      </c>
    </row>
    <row r="3" ht="15" customHeight="1" s="33">
      <c r="A3" s="36" t="inlineStr">
        <is>
          <t>Votantes con wargame por mes -&gt; Mar: 19 | Abr: 34 | May: 40 | Jun: 52 | Jul: 44 | Ago: 64</t>
        </is>
      </c>
    </row>
    <row r="5" ht="15" customHeight="1" s="33">
      <c r="A5" s="37" t="inlineStr">
        <is>
          <t>Pos</t>
        </is>
      </c>
      <c r="B5" s="37" t="inlineStr">
        <is>
          <t>Juego</t>
        </is>
      </c>
      <c r="C5" s="37" t="inlineStr">
        <is>
          <t>Score</t>
        </is>
      </c>
      <c r="D5" s="37" t="inlineStr">
        <is>
          <t>Norm Ago</t>
        </is>
      </c>
      <c r="E5" s="37" t="inlineStr">
        <is>
          <t>Norm Jul</t>
        </is>
      </c>
      <c r="F5" s="37" t="inlineStr">
        <is>
          <t>Norm Jun</t>
        </is>
      </c>
      <c r="G5" s="37" t="inlineStr">
        <is>
          <t>Norm May</t>
        </is>
      </c>
    </row>
    <row r="6" ht="15" customHeight="1" s="33">
      <c r="A6" s="38" t="n">
        <v>1</v>
      </c>
      <c r="B6" s="38" t="inlineStr">
        <is>
          <t>D-Day at Omaha Beach</t>
        </is>
      </c>
      <c r="C6" s="38">
        <f>'Histórico Vis Bélica'!N6</f>
        <v/>
      </c>
      <c r="D6" s="38" t="n">
        <v>0.3594</v>
      </c>
      <c r="E6" s="38" t="n">
        <v>0.3636</v>
      </c>
      <c r="F6" s="38" t="n">
        <v>0.4423</v>
      </c>
      <c r="G6" s="38" t="n">
        <v>0.55</v>
      </c>
    </row>
    <row r="7" ht="15" customHeight="1" s="33">
      <c r="A7" s="39" t="n">
        <v>2</v>
      </c>
      <c r="B7" s="39" t="inlineStr">
        <is>
          <t>Fields of Fire</t>
        </is>
      </c>
      <c r="C7" s="39">
        <f>'Histórico Vis Bélica'!N7</f>
        <v/>
      </c>
      <c r="D7" s="39" t="n">
        <v>0.2656</v>
      </c>
      <c r="E7" s="39" t="n">
        <v>0.0682</v>
      </c>
      <c r="F7" s="39" t="n">
        <v>0.1154</v>
      </c>
      <c r="G7" s="39" t="n">
        <v>0.05</v>
      </c>
    </row>
    <row r="8" ht="15" customHeight="1" s="33">
      <c r="A8" s="41" t="n">
        <v>3</v>
      </c>
      <c r="B8" s="41" t="inlineStr">
        <is>
          <t>Guerra del Anillo</t>
        </is>
      </c>
      <c r="C8" s="41">
        <f>'Histórico Vis Bélica'!N8</f>
        <v/>
      </c>
      <c r="D8" s="41" t="n">
        <v>0.1562</v>
      </c>
      <c r="E8" s="41" t="n">
        <v>0.2727</v>
      </c>
      <c r="F8" s="41" t="n">
        <v>0.0577</v>
      </c>
      <c r="G8" s="41" t="n">
        <v>0.225</v>
      </c>
    </row>
    <row r="9" ht="15" customHeight="1" s="33">
      <c r="A9" s="43" t="n">
        <v>4</v>
      </c>
      <c r="B9" s="43" t="inlineStr">
        <is>
          <t>Thunderbolt: Deluxe Edition</t>
        </is>
      </c>
      <c r="C9" s="43">
        <f>'Histórico Vis Bélica'!N9</f>
        <v/>
      </c>
      <c r="D9" s="43" t="n">
        <v>0.1406</v>
      </c>
      <c r="E9" s="43" t="n">
        <v>0.1364</v>
      </c>
      <c r="F9" s="43" t="n">
        <v>0.1346</v>
      </c>
      <c r="G9" s="43" t="n">
        <v>0.05</v>
      </c>
    </row>
    <row r="10" ht="15" customHeight="1" s="33">
      <c r="A10" s="45" t="n">
        <v>5</v>
      </c>
      <c r="B10" s="45" t="inlineStr">
        <is>
          <t>Cuius Regio</t>
        </is>
      </c>
      <c r="C10" s="45">
        <f>'Histórico Vis Bélica'!N12</f>
        <v/>
      </c>
      <c r="D10" s="45" t="n">
        <v>0.125</v>
      </c>
      <c r="E10" s="45" t="n">
        <v>0.25</v>
      </c>
      <c r="F10" s="45" t="n"/>
      <c r="G10" s="45" t="n"/>
    </row>
    <row r="11" ht="15" customHeight="1" s="33">
      <c r="A11" s="43" t="n">
        <v>6</v>
      </c>
      <c r="B11" s="43" t="inlineStr">
        <is>
          <t>Burning Banners</t>
        </is>
      </c>
      <c r="C11" s="43">
        <f>'Histórico Vis Bélica'!N16</f>
        <v/>
      </c>
      <c r="D11" s="43" t="n">
        <v>0.09379999999999999</v>
      </c>
      <c r="E11" s="43" t="n">
        <v>0.1136</v>
      </c>
      <c r="F11" s="43" t="n">
        <v>0.0769</v>
      </c>
      <c r="G11" s="43" t="n">
        <v>0.2</v>
      </c>
    </row>
    <row r="12" ht="15" customHeight="1" s="33">
      <c r="A12" s="45" t="n">
        <v>7</v>
      </c>
      <c r="B12" s="45" t="inlineStr">
        <is>
          <t>Imperial Struggle</t>
        </is>
      </c>
      <c r="C12" s="45">
        <f>'Histórico Vis Bélica'!N10</f>
        <v/>
      </c>
      <c r="D12" s="45" t="n">
        <v>0.125</v>
      </c>
      <c r="E12" s="45" t="n"/>
      <c r="F12" s="45" t="n">
        <v>0.0385</v>
      </c>
      <c r="G12" s="45" t="n"/>
    </row>
    <row r="13" ht="15" customHeight="1" s="33">
      <c r="A13" s="43" t="n">
        <v>8</v>
      </c>
      <c r="B13" s="43" t="inlineStr">
        <is>
          <t>Cruzada y Revolución</t>
        </is>
      </c>
      <c r="C13" s="43">
        <f>'Histórico Vis Bélica'!N11</f>
        <v/>
      </c>
      <c r="D13" s="43" t="n">
        <v>0.1094</v>
      </c>
      <c r="E13" s="43" t="n">
        <v>0.0455</v>
      </c>
      <c r="F13" s="43" t="n">
        <v>0.0385</v>
      </c>
      <c r="G13" s="43" t="n"/>
    </row>
    <row r="14" ht="15" customHeight="1" s="33">
      <c r="A14" s="45" t="n">
        <v>9</v>
      </c>
      <c r="B14" s="45" t="inlineStr">
        <is>
          <t>Urban Operations</t>
        </is>
      </c>
      <c r="C14" s="45">
        <f>'Histórico Vis Bélica'!N13</f>
        <v/>
      </c>
      <c r="D14" s="45" t="n">
        <v>0.09379999999999999</v>
      </c>
      <c r="E14" s="45" t="n"/>
      <c r="F14" s="45" t="n">
        <v>0.09619999999999999</v>
      </c>
      <c r="G14" s="45" t="n"/>
    </row>
    <row r="15" ht="15" customHeight="1" s="33">
      <c r="A15" s="43" t="n">
        <v>10</v>
      </c>
      <c r="B15" s="43" t="inlineStr">
        <is>
          <t>Combat Commander</t>
        </is>
      </c>
      <c r="C15" s="43">
        <f>'Histórico Vis Bélica'!N15</f>
        <v/>
      </c>
      <c r="D15" s="43" t="n">
        <v>0.0781</v>
      </c>
      <c r="E15" s="43" t="n"/>
      <c r="F15" s="43" t="n">
        <v>0.1154</v>
      </c>
      <c r="G15" s="43" t="n">
        <v>0.075</v>
      </c>
    </row>
    <row r="16" ht="15" customHeight="1" s="33">
      <c r="A16" s="45" t="n">
        <v>11</v>
      </c>
      <c r="B16" s="45" t="inlineStr">
        <is>
          <t>The russian campaign</t>
        </is>
      </c>
      <c r="C16" s="45">
        <f>'Histórico Vis Bélica'!N14</f>
        <v/>
      </c>
      <c r="D16" s="45" t="n">
        <v>0.0625</v>
      </c>
      <c r="E16" s="45" t="n">
        <v>0.0455</v>
      </c>
      <c r="F16" s="45" t="n">
        <v>0.1346</v>
      </c>
      <c r="G16" s="45" t="n">
        <v>0.05</v>
      </c>
    </row>
    <row r="17" ht="15" customHeight="1" s="33">
      <c r="A17" s="43" t="n">
        <v>12</v>
      </c>
      <c r="B17" s="43" t="inlineStr">
        <is>
          <t>For the People</t>
        </is>
      </c>
      <c r="C17" s="43">
        <f>'Histórico Vis Bélica'!N24</f>
        <v/>
      </c>
      <c r="D17" s="43" t="n">
        <v>0.0625</v>
      </c>
      <c r="E17" s="43" t="n">
        <v>0.09089999999999999</v>
      </c>
      <c r="F17" s="43" t="n"/>
      <c r="G17" s="43" t="n"/>
    </row>
    <row r="18" ht="15" customHeight="1" s="33">
      <c r="A18" s="45" t="n">
        <v>13</v>
      </c>
      <c r="B18" s="45" t="inlineStr">
        <is>
          <t>Dune: War for Arrakis</t>
        </is>
      </c>
      <c r="C18" s="45">
        <f>'Histórico Vis Bélica'!N17</f>
        <v/>
      </c>
      <c r="D18" s="45" t="n">
        <v>0.0312</v>
      </c>
      <c r="E18" s="45" t="n">
        <v>0.1818</v>
      </c>
      <c r="F18" s="45" t="n"/>
      <c r="G18" s="45" t="n">
        <v>0.025</v>
      </c>
    </row>
    <row r="19" ht="15" customHeight="1" s="33">
      <c r="A19" s="43" t="n">
        <v>14</v>
      </c>
      <c r="B19" s="43" t="inlineStr">
        <is>
          <t>Holland 44</t>
        </is>
      </c>
      <c r="C19" s="43">
        <f>'Histórico Vis Bélica'!N25</f>
        <v/>
      </c>
      <c r="D19" s="43" t="n">
        <v>0.0625</v>
      </c>
      <c r="E19" s="43" t="n"/>
      <c r="F19" s="43" t="n">
        <v>0.0577</v>
      </c>
      <c r="G19" s="43" t="n"/>
    </row>
    <row r="20" ht="15" customHeight="1" s="33">
      <c r="A20" s="45" t="n">
        <v>15</v>
      </c>
      <c r="B20" s="45" t="inlineStr">
        <is>
          <t>Asturias 1936-1937</t>
        </is>
      </c>
      <c r="C20" s="45">
        <f>'Histórico Vis Bélica'!N18</f>
        <v/>
      </c>
      <c r="D20" s="45" t="n">
        <v>0.0469</v>
      </c>
      <c r="E20" s="45" t="n"/>
      <c r="F20" s="45" t="n">
        <v>0.1538</v>
      </c>
      <c r="G20" s="45" t="n"/>
    </row>
    <row r="21" ht="15" customHeight="1" s="33">
      <c r="A21" s="43" t="n">
        <v>16</v>
      </c>
      <c r="B21" s="43" t="inlineStr">
        <is>
          <t>Commands &amp; Colors: Napoleonics</t>
        </is>
      </c>
      <c r="C21" s="43">
        <f>'Histórico Vis Bélica'!N32</f>
        <v/>
      </c>
      <c r="D21" s="43" t="n">
        <v>0.0469</v>
      </c>
      <c r="E21" s="43" t="n">
        <v>0.0682</v>
      </c>
      <c r="F21" s="43" t="n">
        <v>0.0385</v>
      </c>
      <c r="G21" s="43" t="n"/>
    </row>
    <row r="22" ht="15" customHeight="1" s="33">
      <c r="A22" s="45" t="n">
        <v>17</v>
      </c>
      <c r="B22" s="45" t="inlineStr">
        <is>
          <t>Washington's War</t>
        </is>
      </c>
      <c r="C22" s="45">
        <f>'Histórico Vis Bélica'!N19</f>
        <v/>
      </c>
      <c r="D22" s="45" t="n">
        <v>0.0469</v>
      </c>
      <c r="E22" s="45" t="n">
        <v>0.0227</v>
      </c>
      <c r="F22" s="45" t="n">
        <v>0.0577</v>
      </c>
      <c r="G22" s="45" t="n">
        <v>0.075</v>
      </c>
    </row>
    <row r="23" ht="15" customHeight="1" s="33">
      <c r="A23" s="43" t="n">
        <v>18</v>
      </c>
      <c r="B23" s="43" t="inlineStr">
        <is>
          <t>Army of the Potomac</t>
        </is>
      </c>
      <c r="C23" s="43">
        <f>'Histórico Vis Bélica'!N20</f>
        <v/>
      </c>
      <c r="D23" s="43" t="n">
        <v>0.0469</v>
      </c>
      <c r="E23" s="43" t="n">
        <v>0.0682</v>
      </c>
      <c r="F23" s="43" t="n">
        <v>0.0192</v>
      </c>
      <c r="G23" s="43" t="n"/>
    </row>
    <row r="24" ht="15" customHeight="1" s="33">
      <c r="A24" s="45" t="n">
        <v>19</v>
      </c>
      <c r="B24" s="45" t="inlineStr">
        <is>
          <t>Enemy Action: Kharkov</t>
        </is>
      </c>
      <c r="C24" s="45">
        <f>'Histórico Vis Bélica'!N21</f>
        <v/>
      </c>
      <c r="D24" s="45" t="n">
        <v>0.0469</v>
      </c>
      <c r="E24" s="45" t="n">
        <v>0.0682</v>
      </c>
      <c r="F24" s="45" t="n"/>
      <c r="G24" s="45" t="n">
        <v>0.025</v>
      </c>
    </row>
    <row r="25" ht="15" customHeight="1" s="33">
      <c r="A25" s="43" t="n">
        <v>20</v>
      </c>
      <c r="B25" s="43" t="inlineStr">
        <is>
          <t>Onus!</t>
        </is>
      </c>
      <c r="C25" s="43">
        <f>'Histórico Vis Bélica'!N23</f>
        <v/>
      </c>
      <c r="D25" s="43" t="n">
        <v>0.0469</v>
      </c>
      <c r="E25" s="43" t="n">
        <v>0.0455</v>
      </c>
      <c r="F25" s="43" t="n">
        <v>0.0385</v>
      </c>
      <c r="G25" s="43" t="n"/>
    </row>
    <row r="26" ht="15" customHeight="1" s="33">
      <c r="A26" s="45" t="n">
        <v>21</v>
      </c>
      <c r="B26" s="45" t="inlineStr">
        <is>
          <t>Operation Overlord</t>
        </is>
      </c>
      <c r="C26" s="45">
        <f>'Histórico Vis Bélica'!N22</f>
        <v/>
      </c>
      <c r="D26" s="45" t="n">
        <v>0.0312</v>
      </c>
      <c r="E26" s="45" t="n">
        <v>0.0227</v>
      </c>
      <c r="F26" s="45" t="n">
        <v>0.1731</v>
      </c>
      <c r="G26" s="45" t="n">
        <v>0.025</v>
      </c>
    </row>
    <row r="27" ht="15" customHeight="1" s="33">
      <c r="A27" s="43" t="n">
        <v>22</v>
      </c>
      <c r="B27" s="43" t="inlineStr">
        <is>
          <t>Triumph and Tragedy</t>
        </is>
      </c>
      <c r="C27" s="43">
        <f>'Histórico Vis Bélica'!N28</f>
        <v/>
      </c>
      <c r="D27" s="43" t="n">
        <v>0.0469</v>
      </c>
      <c r="E27" s="43" t="n">
        <v>0.0227</v>
      </c>
      <c r="F27" s="43" t="n"/>
      <c r="G27" s="43" t="n">
        <v>0.05</v>
      </c>
    </row>
    <row r="28" ht="15" customHeight="1" s="33">
      <c r="A28" s="45" t="n">
        <v>23</v>
      </c>
      <c r="B28" s="45" t="inlineStr">
        <is>
          <t>Quartermaster General: South Front</t>
        </is>
      </c>
      <c r="C28" s="45">
        <f>'Histórico Vis Bélica'!N26</f>
        <v/>
      </c>
      <c r="D28" s="45" t="n">
        <v>0.0312</v>
      </c>
      <c r="E28" s="45" t="n">
        <v>0.09089999999999999</v>
      </c>
      <c r="F28" s="45" t="n">
        <v>0.0385</v>
      </c>
      <c r="G28" s="45" t="n"/>
    </row>
    <row r="29" ht="15" customHeight="1" s="33">
      <c r="A29" s="43" t="n">
        <v>24</v>
      </c>
      <c r="B29" s="43" t="inlineStr">
        <is>
          <t>Pursuit of Glory</t>
        </is>
      </c>
      <c r="C29" s="43">
        <f>'Histórico Vis Bélica'!N27</f>
        <v/>
      </c>
      <c r="D29" s="43" t="n">
        <v>0.0312</v>
      </c>
      <c r="E29" s="43" t="n">
        <v>0.0455</v>
      </c>
      <c r="F29" s="43" t="n">
        <v>0.0577</v>
      </c>
      <c r="G29" s="43" t="n">
        <v>0.075</v>
      </c>
    </row>
    <row r="30" ht="15" customHeight="1" s="33">
      <c r="A30" s="45" t="n">
        <v>25</v>
      </c>
      <c r="B30" s="45" t="inlineStr">
        <is>
          <t>Close Quarters Battles: Waterloo</t>
        </is>
      </c>
      <c r="C30" s="45">
        <f>'Histórico Vis Bélica'!N30</f>
        <v/>
      </c>
      <c r="D30" s="45" t="n">
        <v>0.0469</v>
      </c>
      <c r="E30" s="45" t="n"/>
      <c r="F30" s="45" t="n"/>
      <c r="G30" s="45" t="n">
        <v>0.075</v>
      </c>
    </row>
    <row r="31" ht="15" customHeight="1" s="33">
      <c r="A31" s="43" t="n">
        <v>26</v>
      </c>
      <c r="B31" s="43" t="inlineStr">
        <is>
          <t>El imperio del sol</t>
        </is>
      </c>
      <c r="C31" s="43">
        <f>'Histórico Vis Bélica'!N31</f>
        <v/>
      </c>
      <c r="D31" s="43" t="n">
        <v>0.0469</v>
      </c>
      <c r="E31" s="43" t="n"/>
      <c r="F31" s="43" t="n"/>
      <c r="G31" s="43" t="n">
        <v>0.075</v>
      </c>
    </row>
    <row r="32" ht="15" customHeight="1" s="33">
      <c r="A32" s="45" t="n">
        <v>27</v>
      </c>
      <c r="B32" s="45" t="inlineStr">
        <is>
          <t>Undaunted Stalingrad</t>
        </is>
      </c>
      <c r="C32" s="45">
        <f>'Histórico Vis Bélica'!N29</f>
        <v/>
      </c>
      <c r="D32" s="45" t="n">
        <v>0.0312</v>
      </c>
      <c r="E32" s="45" t="n">
        <v>0.0455</v>
      </c>
      <c r="F32" s="45" t="n">
        <v>0.09619999999999999</v>
      </c>
      <c r="G32" s="45" t="n"/>
    </row>
    <row r="33" ht="15" customHeight="1" s="33">
      <c r="A33" s="43" t="n">
        <v>28</v>
      </c>
      <c r="B33" s="43" t="inlineStr">
        <is>
          <t>Labyrinth</t>
        </is>
      </c>
      <c r="C33" s="43">
        <f>'Histórico Vis Bélica'!N40</f>
        <v/>
      </c>
      <c r="D33" s="43" t="n">
        <v>0.0469</v>
      </c>
      <c r="E33" s="43" t="n">
        <v>0.0227</v>
      </c>
      <c r="F33" s="43" t="n"/>
      <c r="G33" s="43" t="n"/>
    </row>
    <row r="34" ht="15" customHeight="1" s="33">
      <c r="A34" s="45" t="n">
        <v>29</v>
      </c>
      <c r="B34" s="45" t="inlineStr">
        <is>
          <t>Normandy 44</t>
        </is>
      </c>
      <c r="C34" s="45">
        <f>'Histórico Vis Bélica'!N33</f>
        <v/>
      </c>
      <c r="D34" s="45" t="n">
        <v>0.0469</v>
      </c>
      <c r="E34" s="45" t="n"/>
      <c r="F34" s="45" t="n">
        <v>0.0192</v>
      </c>
      <c r="G34" s="45" t="n"/>
    </row>
    <row r="35" ht="15" customHeight="1" s="33">
      <c r="A35" s="43" t="n">
        <v>30</v>
      </c>
      <c r="B35" s="43" t="inlineStr">
        <is>
          <t>A Gest of Robin Hood</t>
        </is>
      </c>
      <c r="C35" s="43">
        <f>'Histórico Vis Bélica'!N36</f>
        <v/>
      </c>
      <c r="D35" s="43" t="n">
        <v>0.0469</v>
      </c>
      <c r="E35" s="43" t="n"/>
      <c r="F35" s="43" t="n"/>
      <c r="G35" s="43" t="n"/>
    </row>
    <row r="36" ht="15" customHeight="1" s="33">
      <c r="A36" s="45" t="n">
        <v>31</v>
      </c>
      <c r="B36" s="45" t="inlineStr">
        <is>
          <t>Attrition of Souls</t>
        </is>
      </c>
      <c r="C36" s="45">
        <f>'Histórico Vis Bélica'!N37</f>
        <v/>
      </c>
      <c r="D36" s="45" t="n">
        <v>0.0469</v>
      </c>
      <c r="E36" s="45" t="n"/>
      <c r="F36" s="45" t="n"/>
      <c r="G36" s="45" t="n"/>
    </row>
    <row r="37" ht="15" customHeight="1" s="33">
      <c r="A37" s="43" t="n">
        <v>32</v>
      </c>
      <c r="B37" s="43" t="inlineStr">
        <is>
          <t>Barbarians at the Gates</t>
        </is>
      </c>
      <c r="C37" s="43">
        <f>'Histórico Vis Bélica'!N38</f>
        <v/>
      </c>
      <c r="D37" s="43" t="n">
        <v>0.0469</v>
      </c>
      <c r="E37" s="43" t="n"/>
      <c r="F37" s="43" t="n"/>
      <c r="G37" s="43" t="n"/>
    </row>
    <row r="38" ht="15" customHeight="1" s="33">
      <c r="A38" s="45" t="n">
        <v>33</v>
      </c>
      <c r="B38" s="45" t="inlineStr">
        <is>
          <t>Hispania</t>
        </is>
      </c>
      <c r="C38" s="45">
        <f>'Histórico Vis Bélica'!N39</f>
        <v/>
      </c>
      <c r="D38" s="45" t="n">
        <v>0.0469</v>
      </c>
      <c r="E38" s="45" t="n"/>
      <c r="F38" s="45" t="n"/>
      <c r="G38" s="45" t="n"/>
    </row>
    <row r="39" ht="15" customHeight="1" s="33">
      <c r="A39" s="43" t="n">
        <v>34</v>
      </c>
      <c r="B39" s="43" t="inlineStr">
        <is>
          <t>Phantom Fury</t>
        </is>
      </c>
      <c r="C39" s="43">
        <f>'Histórico Vis Bélica'!N41</f>
        <v/>
      </c>
      <c r="D39" s="43" t="n">
        <v>0.0469</v>
      </c>
      <c r="E39" s="43" t="n"/>
      <c r="F39" s="43" t="n"/>
      <c r="G39" s="43" t="n"/>
    </row>
    <row r="40" ht="15" customHeight="1" s="33">
      <c r="A40" s="45" t="n">
        <v>35</v>
      </c>
      <c r="B40" s="45" t="inlineStr">
        <is>
          <t>Stalingrad: The Savage Streets 1945</t>
        </is>
      </c>
      <c r="C40" s="45">
        <f>'Histórico Vis Bélica'!N42</f>
        <v/>
      </c>
      <c r="D40" s="45" t="n">
        <v>0.0469</v>
      </c>
      <c r="E40" s="45" t="n"/>
      <c r="F40" s="45" t="n"/>
      <c r="G40" s="45" t="n"/>
    </row>
    <row r="41" ht="15" customHeight="1" s="33">
      <c r="A41" s="43" t="n">
        <v>36</v>
      </c>
      <c r="B41" s="43" t="inlineStr">
        <is>
          <t>Tanto Monta</t>
        </is>
      </c>
      <c r="C41" s="43">
        <f>'Histórico Vis Bélica'!N43</f>
        <v/>
      </c>
      <c r="D41" s="43" t="n">
        <v>0.0469</v>
      </c>
      <c r="E41" s="43" t="n"/>
      <c r="F41" s="43" t="n"/>
      <c r="G41" s="43" t="n"/>
    </row>
    <row r="42" ht="15" customHeight="1" s="33">
      <c r="A42" s="45" t="n">
        <v>37</v>
      </c>
      <c r="B42" s="45" t="inlineStr">
        <is>
          <t>Una Guerra Imposible</t>
        </is>
      </c>
      <c r="C42" s="45">
        <f>'Histórico Vis Bélica'!N35</f>
        <v/>
      </c>
      <c r="D42" s="45" t="n">
        <v>0.0469</v>
      </c>
      <c r="E42" s="45" t="n"/>
      <c r="F42" s="45" t="n"/>
      <c r="G42" s="45" t="n"/>
    </row>
    <row r="43" ht="15" customHeight="1" s="33">
      <c r="A43" s="43" t="n">
        <v>38</v>
      </c>
      <c r="B43" s="43" t="inlineStr">
        <is>
          <t>Three days of Gettysburg</t>
        </is>
      </c>
      <c r="C43" s="43">
        <f>'Histórico Vis Bélica'!N34</f>
        <v/>
      </c>
      <c r="D43" s="43" t="n">
        <v>0.0312</v>
      </c>
      <c r="E43" s="43" t="n">
        <v>0.0682</v>
      </c>
      <c r="F43" s="43" t="n"/>
      <c r="G43" s="43" t="n"/>
    </row>
    <row r="44" ht="15" customHeight="1" s="33">
      <c r="A44" s="45" t="n">
        <v>39</v>
      </c>
      <c r="B44" s="45" t="inlineStr">
        <is>
          <t>María</t>
        </is>
      </c>
      <c r="C44" s="45">
        <f>'Histórico Vis Bélica'!N84</f>
        <v/>
      </c>
      <c r="D44" s="45" t="n">
        <v>0.0156</v>
      </c>
      <c r="E44" s="45" t="n">
        <v>0.09089999999999999</v>
      </c>
      <c r="F44" s="45" t="n"/>
      <c r="G44" s="45" t="n">
        <v>0.075</v>
      </c>
    </row>
    <row r="45" ht="15" customHeight="1" s="33">
      <c r="A45" s="43" t="n">
        <v>40</v>
      </c>
      <c r="B45" s="43" t="inlineStr">
        <is>
          <t>Star Wars: La Batalla de Hoth</t>
        </is>
      </c>
      <c r="C45" s="43">
        <f>'Histórico Vis Bélica'!N44</f>
        <v/>
      </c>
      <c r="D45" s="43" t="n">
        <v>0.0312</v>
      </c>
      <c r="E45" s="43" t="n">
        <v>0.0455</v>
      </c>
      <c r="F45" s="43" t="n"/>
      <c r="G45" s="43" t="n"/>
    </row>
    <row r="46" ht="15" customHeight="1" s="33">
      <c r="A46" s="45" t="n">
        <v>41</v>
      </c>
      <c r="B46" s="45" t="inlineStr">
        <is>
          <t>Comancheria</t>
        </is>
      </c>
      <c r="C46" s="45">
        <f>'Histórico Vis Bélica'!N54</f>
        <v/>
      </c>
      <c r="D46" s="45" t="n">
        <v>0.0312</v>
      </c>
      <c r="E46" s="45" t="n">
        <v>0.0227</v>
      </c>
      <c r="F46" s="45" t="n"/>
      <c r="G46" s="45" t="n"/>
    </row>
    <row r="47" ht="15" customHeight="1" s="33">
      <c r="A47" s="43" t="n">
        <v>42</v>
      </c>
      <c r="B47" s="43" t="inlineStr">
        <is>
          <t>Next War: Iran</t>
        </is>
      </c>
      <c r="C47" s="43">
        <f>'Histórico Vis Bélica'!N46</f>
        <v/>
      </c>
      <c r="D47" s="43" t="n">
        <v>0.0312</v>
      </c>
      <c r="E47" s="43" t="n">
        <v>0.0227</v>
      </c>
      <c r="F47" s="43" t="n"/>
      <c r="G47" s="43" t="n"/>
    </row>
    <row r="48" ht="15" customHeight="1" s="33">
      <c r="A48" s="45" t="n">
        <v>43</v>
      </c>
      <c r="B48" s="45" t="inlineStr">
        <is>
          <t>2 Minutos para la Medianoche</t>
        </is>
      </c>
      <c r="C48" s="45">
        <f>'Histórico Vis Bélica'!N48</f>
        <v/>
      </c>
      <c r="D48" s="45" t="n">
        <v>0.0312</v>
      </c>
      <c r="E48" s="45" t="n"/>
      <c r="F48" s="45" t="n"/>
      <c r="G48" s="45" t="n">
        <v>0.05</v>
      </c>
    </row>
    <row r="49" ht="15" customHeight="1" s="33">
      <c r="A49" s="43" t="n">
        <v>44</v>
      </c>
      <c r="B49" s="43" t="inlineStr">
        <is>
          <t>Carrier Battle: Philippine Sea</t>
        </is>
      </c>
      <c r="C49" s="43">
        <f>'Histórico Vis Bélica'!N49</f>
        <v/>
      </c>
      <c r="D49" s="43" t="n">
        <v>0.0312</v>
      </c>
      <c r="E49" s="43" t="n"/>
      <c r="F49" s="43" t="n"/>
      <c r="G49" s="43" t="n">
        <v>0.05</v>
      </c>
    </row>
    <row r="50" ht="15" customHeight="1" s="33">
      <c r="A50" s="45" t="n">
        <v>45</v>
      </c>
      <c r="B50" s="45" t="inlineStr">
        <is>
          <t>Struggle of Empires</t>
        </is>
      </c>
      <c r="C50" s="45">
        <f>'Histórico Vis Bélica'!N45</f>
        <v/>
      </c>
      <c r="D50" s="45" t="n"/>
      <c r="E50" s="45" t="n">
        <v>0.0682</v>
      </c>
      <c r="F50" s="45" t="n">
        <v>0.1538</v>
      </c>
      <c r="G50" s="45" t="n"/>
    </row>
    <row r="51" ht="15" customHeight="1" s="33">
      <c r="A51" s="43" t="n">
        <v>46</v>
      </c>
      <c r="B51" s="43" t="inlineStr">
        <is>
          <t>Maneuver Warfare</t>
        </is>
      </c>
      <c r="C51" s="43">
        <f>'Histórico Vis Bélica'!N50</f>
        <v/>
      </c>
      <c r="D51" s="43" t="n">
        <v>0.0312</v>
      </c>
      <c r="E51" s="43" t="n"/>
      <c r="F51" s="43" t="n"/>
      <c r="G51" s="43" t="n">
        <v>0.025</v>
      </c>
    </row>
    <row r="52" ht="15" customHeight="1" s="33">
      <c r="A52" s="45" t="n">
        <v>47</v>
      </c>
      <c r="B52" s="45" t="inlineStr">
        <is>
          <t>Twilight Struggle</t>
        </is>
      </c>
      <c r="C52" s="45">
        <f>'Histórico Vis Bélica'!N47</f>
        <v/>
      </c>
      <c r="D52" s="45" t="n"/>
      <c r="E52" s="45" t="n">
        <v>0.0227</v>
      </c>
      <c r="F52" s="45" t="n">
        <v>0.1154</v>
      </c>
      <c r="G52" s="45" t="n">
        <v>0.15</v>
      </c>
    </row>
    <row r="53" ht="15" customHeight="1" s="33">
      <c r="A53" s="43" t="n">
        <v>48</v>
      </c>
      <c r="B53" s="43" t="inlineStr">
        <is>
          <t>13 Días</t>
        </is>
      </c>
      <c r="C53" s="43">
        <f>'Histórico Vis Bélica'!N51</f>
        <v/>
      </c>
      <c r="D53" s="43" t="n">
        <v>0.0312</v>
      </c>
      <c r="E53" s="43" t="n"/>
      <c r="F53" s="43" t="n"/>
      <c r="G53" s="43" t="n"/>
    </row>
    <row r="54" ht="15" customHeight="1" s="33">
      <c r="A54" s="45" t="n">
        <v>49</v>
      </c>
      <c r="B54" s="45" t="inlineStr">
        <is>
          <t>Celles</t>
        </is>
      </c>
      <c r="C54" s="45">
        <f>'Histórico Vis Bélica'!N52</f>
        <v/>
      </c>
      <c r="D54" s="45" t="n">
        <v>0.0312</v>
      </c>
      <c r="E54" s="45" t="n"/>
      <c r="F54" s="45" t="n"/>
      <c r="G54" s="45" t="n"/>
    </row>
    <row r="55" ht="15" customHeight="1" s="33">
      <c r="A55" s="43" t="n">
        <v>50</v>
      </c>
      <c r="B55" s="43" t="inlineStr">
        <is>
          <t>Coast Watchers</t>
        </is>
      </c>
      <c r="C55" s="43">
        <f>'Histórico Vis Bélica'!N53</f>
        <v/>
      </c>
      <c r="D55" s="43" t="n">
        <v>0.0312</v>
      </c>
      <c r="E55" s="43" t="n"/>
      <c r="F55" s="43" t="n"/>
      <c r="G55" s="43" t="n"/>
    </row>
    <row r="56" ht="15" customHeight="1" s="33">
      <c r="A56" s="45" t="n">
        <v>51</v>
      </c>
      <c r="B56" s="45" t="inlineStr">
        <is>
          <t>Guerrilla Generation</t>
        </is>
      </c>
      <c r="C56" s="45">
        <f>'Histórico Vis Bélica'!N55</f>
        <v/>
      </c>
      <c r="D56" s="45" t="n">
        <v>0.0312</v>
      </c>
      <c r="E56" s="45" t="n"/>
      <c r="F56" s="45" t="n"/>
      <c r="G56" s="45" t="n"/>
    </row>
    <row r="57" ht="15" customHeight="1" s="33">
      <c r="A57" s="43" t="n">
        <v>52</v>
      </c>
      <c r="B57" s="43" t="inlineStr">
        <is>
          <t>Hearts &amp; Minds</t>
        </is>
      </c>
      <c r="C57" s="43">
        <f>'Histórico Vis Bélica'!N56</f>
        <v/>
      </c>
      <c r="D57" s="43" t="n">
        <v>0.0312</v>
      </c>
      <c r="E57" s="43" t="n"/>
      <c r="F57" s="43" t="n"/>
      <c r="G57" s="43" t="n"/>
    </row>
    <row r="58" ht="15" customHeight="1" s="33">
      <c r="A58" s="45" t="n">
        <v>53</v>
      </c>
      <c r="B58" s="45" t="inlineStr">
        <is>
          <t>Koningsberg</t>
        </is>
      </c>
      <c r="C58" s="45">
        <f>'Histórico Vis Bélica'!N57</f>
        <v/>
      </c>
      <c r="D58" s="45" t="n">
        <v>0.0312</v>
      </c>
      <c r="E58" s="45" t="n"/>
      <c r="F58" s="45" t="n"/>
      <c r="G58" s="45" t="n"/>
    </row>
    <row r="59" ht="15" customHeight="1" s="33">
      <c r="A59" s="43" t="n">
        <v>54</v>
      </c>
      <c r="B59" s="43" t="inlineStr">
        <is>
          <t>Model's Counterattack</t>
        </is>
      </c>
      <c r="C59" s="43">
        <f>'Histórico Vis Bélica'!N58</f>
        <v/>
      </c>
      <c r="D59" s="43" t="n">
        <v>0.0312</v>
      </c>
      <c r="E59" s="43" t="n"/>
      <c r="F59" s="43" t="n"/>
      <c r="G59" s="43" t="n"/>
    </row>
    <row r="60" ht="15" customHeight="1" s="33">
      <c r="A60" s="45" t="n">
        <v>55</v>
      </c>
      <c r="B60" s="45" t="inlineStr">
        <is>
          <t>Modern Tactics #1: Afghanistan</t>
        </is>
      </c>
      <c r="C60" s="45">
        <f>'Histórico Vis Bélica'!N59</f>
        <v/>
      </c>
      <c r="D60" s="45" t="n">
        <v>0.0312</v>
      </c>
      <c r="E60" s="45" t="n"/>
      <c r="F60" s="45" t="n"/>
      <c r="G60" s="45" t="n"/>
    </row>
    <row r="61" ht="15" customHeight="1" s="33">
      <c r="A61" s="43" t="n">
        <v>56</v>
      </c>
      <c r="B61" s="43" t="inlineStr">
        <is>
          <t>Pampero</t>
        </is>
      </c>
      <c r="C61" s="43">
        <f>'Histórico Vis Bélica'!N60</f>
        <v/>
      </c>
      <c r="D61" s="43" t="n">
        <v>0.0312</v>
      </c>
      <c r="E61" s="43" t="n"/>
      <c r="F61" s="43" t="n"/>
      <c r="G61" s="43" t="n"/>
    </row>
    <row r="62" ht="15" customHeight="1" s="33">
      <c r="A62" s="45" t="n">
        <v>57</v>
      </c>
      <c r="B62" s="45" t="inlineStr">
        <is>
          <t>Quartermaster General: West Front</t>
        </is>
      </c>
      <c r="C62" s="45">
        <f>'Histórico Vis Bélica'!N61</f>
        <v/>
      </c>
      <c r="D62" s="45" t="n">
        <v>0.0312</v>
      </c>
      <c r="E62" s="45" t="n"/>
      <c r="F62" s="45" t="n"/>
      <c r="G62" s="45" t="n"/>
    </row>
    <row r="63" ht="15" customHeight="1" s="33">
      <c r="A63" s="43" t="n">
        <v>58</v>
      </c>
      <c r="B63" s="43" t="inlineStr">
        <is>
          <t>Stalin's War</t>
        </is>
      </c>
      <c r="C63" s="43">
        <f>'Histórico Vis Bélica'!N62</f>
        <v/>
      </c>
      <c r="D63" s="43" t="n">
        <v>0.0312</v>
      </c>
      <c r="E63" s="43" t="n"/>
      <c r="F63" s="43" t="n"/>
      <c r="G63" s="43" t="n"/>
    </row>
    <row r="64" ht="15" customHeight="1" s="33">
      <c r="A64" s="45" t="n">
        <v>59</v>
      </c>
      <c r="B64" s="45" t="inlineStr">
        <is>
          <t>The Great Battles of Alexander (GBoH)</t>
        </is>
      </c>
      <c r="C64" s="45">
        <f>'Histórico Vis Bélica'!N63</f>
        <v/>
      </c>
      <c r="D64" s="45" t="n">
        <v>0.0312</v>
      </c>
      <c r="E64" s="45" t="n"/>
      <c r="F64" s="45" t="n"/>
      <c r="G64" s="45" t="n"/>
    </row>
    <row r="65" ht="15" customHeight="1" s="33">
      <c r="A65" s="43" t="n">
        <v>60</v>
      </c>
      <c r="B65" s="43" t="inlineStr">
        <is>
          <t>Triumph of Chaos</t>
        </is>
      </c>
      <c r="C65" s="43">
        <f>'Histórico Vis Bélica'!N64</f>
        <v/>
      </c>
      <c r="D65" s="43" t="n">
        <v>0.0312</v>
      </c>
      <c r="E65" s="43" t="n"/>
      <c r="F65" s="43" t="n"/>
      <c r="G65" s="43" t="n"/>
    </row>
    <row r="66" ht="15" customHeight="1" s="33">
      <c r="A66" s="45" t="n">
        <v>61</v>
      </c>
      <c r="B66" s="45" t="inlineStr">
        <is>
          <t>Undaunted Normandy</t>
        </is>
      </c>
      <c r="C66" s="45">
        <f>'Histórico Vis Bélica'!N65</f>
        <v/>
      </c>
      <c r="D66" s="45" t="n">
        <v>0.0312</v>
      </c>
      <c r="E66" s="45" t="n"/>
      <c r="F66" s="45" t="n"/>
      <c r="G66" s="45" t="n"/>
    </row>
    <row r="67" ht="15" customHeight="1" s="33">
      <c r="A67" s="43" t="n">
        <v>62</v>
      </c>
      <c r="B67" s="43" t="inlineStr">
        <is>
          <t>Warfare: Modern Tactical Combat</t>
        </is>
      </c>
      <c r="C67" s="43">
        <f>'Histórico Vis Bélica'!N66</f>
        <v/>
      </c>
      <c r="D67" s="43" t="n">
        <v>0.0312</v>
      </c>
      <c r="E67" s="43" t="n"/>
      <c r="F67" s="43" t="n"/>
      <c r="G67" s="43" t="n"/>
    </row>
    <row r="68" ht="15" customHeight="1" s="33">
      <c r="A68" s="45" t="n">
        <v>63</v>
      </c>
      <c r="B68" s="45" t="inlineStr">
        <is>
          <t>Wir sind das Volk!</t>
        </is>
      </c>
      <c r="C68" s="45">
        <f>'Histórico Vis Bélica'!N108</f>
        <v/>
      </c>
      <c r="D68" s="45" t="n"/>
      <c r="E68" s="45" t="n">
        <v>0.0682</v>
      </c>
      <c r="F68" s="45" t="n">
        <v>0.09619999999999999</v>
      </c>
      <c r="G68" s="45" t="n"/>
    </row>
    <row r="69" ht="15" customHeight="1" s="33">
      <c r="A69" s="43" t="n">
        <v>64</v>
      </c>
      <c r="B69" s="43" t="inlineStr">
        <is>
          <t>Congress of Vienna</t>
        </is>
      </c>
      <c r="C69" s="43">
        <f>'Histórico Vis Bélica'!N67</f>
        <v/>
      </c>
      <c r="D69" s="43" t="n">
        <v>0.0156</v>
      </c>
      <c r="E69" s="43" t="n"/>
      <c r="F69" s="43" t="n">
        <v>0.0577</v>
      </c>
      <c r="G69" s="43" t="n"/>
    </row>
    <row r="70" ht="15" customHeight="1" s="33">
      <c r="A70" s="45" t="n">
        <v>65</v>
      </c>
      <c r="B70" s="45" t="inlineStr">
        <is>
          <t>Coalitions</t>
        </is>
      </c>
      <c r="C70" s="45">
        <f>'Histórico Vis Bélica'!N78</f>
        <v/>
      </c>
      <c r="D70" s="45" t="n">
        <v>0.0156</v>
      </c>
      <c r="E70" s="45" t="n"/>
      <c r="F70" s="45" t="n"/>
      <c r="G70" s="45" t="n">
        <v>0.075</v>
      </c>
    </row>
    <row r="71" ht="15" customHeight="1" s="33">
      <c r="A71" s="43" t="n">
        <v>66</v>
      </c>
      <c r="B71" s="43" t="inlineStr">
        <is>
          <t>Stonewall Jackson Way II</t>
        </is>
      </c>
      <c r="C71" s="43">
        <f>'Histórico Vis Bélica'!N68</f>
        <v/>
      </c>
      <c r="D71" s="43" t="n">
        <v>0.0156</v>
      </c>
      <c r="E71" s="43" t="n"/>
      <c r="F71" s="43" t="n"/>
      <c r="G71" s="43" t="n">
        <v>0.075</v>
      </c>
    </row>
    <row r="72" ht="15" customHeight="1" s="33">
      <c r="A72" s="45" t="n">
        <v>67</v>
      </c>
      <c r="B72" s="45" t="inlineStr">
        <is>
          <t>Asalto a Madrid</t>
        </is>
      </c>
      <c r="C72" s="45">
        <f>'Histórico Vis Bélica'!N71</f>
        <v/>
      </c>
      <c r="D72" s="45" t="n">
        <v>0.0156</v>
      </c>
      <c r="E72" s="45" t="n"/>
      <c r="F72" s="45" t="n">
        <v>0.0385</v>
      </c>
      <c r="G72" s="45" t="n"/>
    </row>
    <row r="73" ht="15" customHeight="1" s="33">
      <c r="A73" s="43" t="n">
        <v>68</v>
      </c>
      <c r="B73" s="43" t="inlineStr">
        <is>
          <t>300: Tierra y Agua</t>
        </is>
      </c>
      <c r="C73" s="43">
        <f>'Histórico Vis Bélica'!N69</f>
        <v/>
      </c>
      <c r="D73" s="43" t="n">
        <v>0.0156</v>
      </c>
      <c r="E73" s="43" t="n">
        <v>0.0227</v>
      </c>
      <c r="F73" s="43" t="n"/>
      <c r="G73" s="43" t="n"/>
    </row>
    <row r="74" ht="15" customHeight="1" s="33">
      <c r="A74" s="45" t="n">
        <v>69</v>
      </c>
      <c r="B74" s="45" t="inlineStr">
        <is>
          <t>SCS Fallschimjaeger</t>
        </is>
      </c>
      <c r="C74" s="45">
        <f>'Histórico Vis Bélica'!N70</f>
        <v/>
      </c>
      <c r="D74" s="45" t="n">
        <v>0.0156</v>
      </c>
      <c r="E74" s="45" t="n">
        <v>0.0227</v>
      </c>
      <c r="F74" s="45" t="n"/>
      <c r="G74" s="45" t="n"/>
    </row>
    <row r="75" ht="15" customHeight="1" s="33">
      <c r="A75" s="43" t="n">
        <v>70</v>
      </c>
      <c r="B75" s="43" t="inlineStr">
        <is>
          <t>Iwo jima el infierno en la tierra</t>
        </is>
      </c>
      <c r="C75" s="43">
        <f>'Histórico Vis Bélica'!N73</f>
        <v/>
      </c>
      <c r="D75" s="43" t="n"/>
      <c r="E75" s="43" t="n">
        <v>0.0455</v>
      </c>
      <c r="F75" s="43" t="n">
        <v>0.0577</v>
      </c>
      <c r="G75" s="43" t="n"/>
    </row>
    <row r="76" ht="15" customHeight="1" s="33">
      <c r="A76" s="45" t="n">
        <v>71</v>
      </c>
      <c r="B76" s="45" t="inlineStr">
        <is>
          <t>Paths of Glory</t>
        </is>
      </c>
      <c r="C76" s="45">
        <f>'Histórico Vis Bélica'!N72</f>
        <v/>
      </c>
      <c r="D76" s="45" t="n"/>
      <c r="E76" s="45" t="n">
        <v>0.0682</v>
      </c>
      <c r="F76" s="45" t="n">
        <v>0.0192</v>
      </c>
      <c r="G76" s="45" t="n"/>
    </row>
    <row r="77" ht="15" customHeight="1" s="33">
      <c r="A77" s="43" t="n">
        <v>72</v>
      </c>
      <c r="B77" s="43" t="inlineStr">
        <is>
          <t>Air and Armor</t>
        </is>
      </c>
      <c r="C77" s="43">
        <f>'Histórico Vis Bélica'!N77</f>
        <v/>
      </c>
      <c r="D77" s="43" t="n">
        <v>0.0156</v>
      </c>
      <c r="E77" s="43" t="n"/>
      <c r="F77" s="43" t="n"/>
      <c r="G77" s="43" t="n"/>
    </row>
    <row r="78" ht="15" customHeight="1" s="33">
      <c r="A78" s="45" t="n">
        <v>73</v>
      </c>
      <c r="B78" s="45" t="inlineStr">
        <is>
          <t>El Rey Planeta</t>
        </is>
      </c>
      <c r="C78" s="45">
        <f>'Histórico Vis Bélica'!N79</f>
        <v/>
      </c>
      <c r="D78" s="45" t="n">
        <v>0.0156</v>
      </c>
      <c r="E78" s="45" t="n"/>
      <c r="F78" s="45" t="n"/>
      <c r="G78" s="45" t="n"/>
    </row>
    <row r="79" ht="15" customHeight="1" s="33">
      <c r="A79" s="43" t="n">
        <v>74</v>
      </c>
      <c r="B79" s="43" t="inlineStr">
        <is>
          <t>Fighting Formations</t>
        </is>
      </c>
      <c r="C79" s="43">
        <f>'Histórico Vis Bélica'!N80</f>
        <v/>
      </c>
      <c r="D79" s="43" t="n">
        <v>0.0156</v>
      </c>
      <c r="E79" s="43" t="n"/>
      <c r="F79" s="43" t="n"/>
      <c r="G79" s="43" t="n"/>
    </row>
    <row r="80" ht="15" customHeight="1" s="33">
      <c r="A80" s="45" t="n">
        <v>75</v>
      </c>
      <c r="B80" s="45" t="inlineStr">
        <is>
          <t>Help Arrives!</t>
        </is>
      </c>
      <c r="C80" s="45">
        <f>'Histórico Vis Bélica'!N81</f>
        <v/>
      </c>
      <c r="D80" s="45" t="n">
        <v>0.0156</v>
      </c>
      <c r="E80" s="45" t="n"/>
      <c r="F80" s="45" t="n"/>
      <c r="G80" s="45" t="n"/>
    </row>
    <row r="81" ht="15" customHeight="1" s="33">
      <c r="A81" s="43" t="n">
        <v>76</v>
      </c>
      <c r="B81" s="43" t="inlineStr">
        <is>
          <t>Hoplite</t>
        </is>
      </c>
      <c r="C81" s="43">
        <f>'Histórico Vis Bélica'!N82</f>
        <v/>
      </c>
      <c r="D81" s="43" t="n">
        <v>0.0156</v>
      </c>
      <c r="E81" s="43" t="n"/>
      <c r="F81" s="43" t="n"/>
      <c r="G81" s="43" t="n"/>
    </row>
    <row r="82" ht="15" customHeight="1" s="33">
      <c r="A82" s="45" t="n">
        <v>77</v>
      </c>
      <c r="B82" s="45" t="inlineStr">
        <is>
          <t>La Guerra de la Triple Alianza</t>
        </is>
      </c>
      <c r="C82" s="45">
        <f>'Histórico Vis Bélica'!N83</f>
        <v/>
      </c>
      <c r="D82" s="45" t="n">
        <v>0.0156</v>
      </c>
      <c r="E82" s="45" t="n"/>
      <c r="F82" s="45" t="n"/>
      <c r="G82" s="45" t="n"/>
    </row>
    <row r="83" ht="15" customHeight="1" s="33">
      <c r="A83" s="43" t="n">
        <v>78</v>
      </c>
      <c r="B83" s="43" t="inlineStr">
        <is>
          <t>Totaler Krieg!</t>
        </is>
      </c>
      <c r="C83" s="43">
        <f>'Histórico Vis Bélica'!N85</f>
        <v/>
      </c>
      <c r="D83" s="43" t="n">
        <v>0.0156</v>
      </c>
      <c r="E83" s="43" t="n"/>
      <c r="F83" s="43" t="n"/>
      <c r="G83" s="43" t="n"/>
    </row>
    <row r="84" ht="15" customHeight="1" s="33">
      <c r="A84" s="45" t="n">
        <v>79</v>
      </c>
      <c r="B84" s="45" t="inlineStr">
        <is>
          <t>Verdun: Steel Inferno</t>
        </is>
      </c>
      <c r="C84" s="45">
        <f>'Histórico Vis Bélica'!N86</f>
        <v/>
      </c>
      <c r="D84" s="45" t="n">
        <v>0.0156</v>
      </c>
      <c r="E84" s="45" t="n"/>
      <c r="F84" s="45" t="n"/>
      <c r="G84" s="45" t="n"/>
    </row>
    <row r="85" ht="15" customHeight="1" s="33">
      <c r="A85" s="43" t="n">
        <v>80</v>
      </c>
      <c r="B85" s="43" t="inlineStr">
        <is>
          <t>Danger Forward: The Battle of Gela, July 1943</t>
        </is>
      </c>
      <c r="C85" s="43">
        <f>'Histórico Vis Bélica'!N74</f>
        <v/>
      </c>
      <c r="D85" s="43" t="n"/>
      <c r="E85" s="43" t="n">
        <v>0.0682</v>
      </c>
      <c r="F85" s="43" t="n"/>
      <c r="G85" s="43" t="n"/>
    </row>
    <row r="86" ht="15" customHeight="1" s="33">
      <c r="A86" s="45" t="n">
        <v>81</v>
      </c>
      <c r="B86" s="45" t="inlineStr">
        <is>
          <t>Stalingrad: Advanced to the Volga</t>
        </is>
      </c>
      <c r="C86" s="45">
        <f>'Histórico Vis Bélica'!N75</f>
        <v/>
      </c>
      <c r="D86" s="45" t="n"/>
      <c r="E86" s="45" t="n">
        <v>0.0682</v>
      </c>
      <c r="F86" s="45" t="n"/>
      <c r="G86" s="45" t="n"/>
    </row>
    <row r="87" ht="15" customHeight="1" s="33">
      <c r="A87" s="43" t="n">
        <v>82</v>
      </c>
      <c r="B87" s="43" t="inlineStr">
        <is>
          <t>Julius Caesar</t>
        </is>
      </c>
      <c r="C87" s="43">
        <f>'Histórico Vis Bélica'!N76</f>
        <v/>
      </c>
      <c r="D87" s="43" t="n"/>
      <c r="E87" s="43" t="n"/>
      <c r="F87" s="43" t="n">
        <v>0.09619999999999999</v>
      </c>
      <c r="G87" s="43" t="n">
        <v>0.025</v>
      </c>
    </row>
    <row r="88" ht="15" customHeight="1" s="33">
      <c r="A88" s="45" t="n">
        <v>83</v>
      </c>
      <c r="B88" s="45" t="inlineStr">
        <is>
          <t>1812: War on the Great Lakes Frontier</t>
        </is>
      </c>
      <c r="C88" s="45">
        <f>'Histórico Vis Bélica'!N87</f>
        <v/>
      </c>
      <c r="D88" s="45" t="n"/>
      <c r="E88" s="45" t="n">
        <v>0.0455</v>
      </c>
      <c r="F88" s="45" t="n"/>
      <c r="G88" s="45" t="n"/>
    </row>
    <row r="89" ht="15" customHeight="1" s="33">
      <c r="A89" s="43" t="n">
        <v>84</v>
      </c>
      <c r="B89" s="43" t="inlineStr">
        <is>
          <t>Atlantic Chase</t>
        </is>
      </c>
      <c r="C89" s="43">
        <f>'Histórico Vis Bélica'!N88</f>
        <v/>
      </c>
      <c r="D89" s="43" t="n"/>
      <c r="E89" s="43" t="n">
        <v>0.0455</v>
      </c>
      <c r="F89" s="43" t="n"/>
      <c r="G89" s="43" t="n"/>
    </row>
    <row r="90" ht="15" customHeight="1" s="33">
      <c r="A90" s="45" t="n">
        <v>85</v>
      </c>
      <c r="B90" s="45" t="inlineStr">
        <is>
          <t>Combat Commander: Pacific</t>
        </is>
      </c>
      <c r="C90" s="45">
        <f>'Histórico Vis Bélica'!N89</f>
        <v/>
      </c>
      <c r="D90" s="45" t="n"/>
      <c r="E90" s="45" t="n">
        <v>0.0455</v>
      </c>
      <c r="F90" s="45" t="n"/>
      <c r="G90" s="45" t="n"/>
    </row>
    <row r="91" ht="15" customHeight="1" s="33">
      <c r="A91" s="43" t="n">
        <v>86</v>
      </c>
      <c r="B91" s="43" t="inlineStr">
        <is>
          <t>Quartermaster General: East Front</t>
        </is>
      </c>
      <c r="C91" s="43">
        <f>'Histórico Vis Bélica'!N90</f>
        <v/>
      </c>
      <c r="D91" s="43" t="n"/>
      <c r="E91" s="43" t="n">
        <v>0.0455</v>
      </c>
      <c r="F91" s="43" t="n"/>
      <c r="G91" s="43" t="n"/>
    </row>
    <row r="92" ht="15" customHeight="1" s="33">
      <c r="A92" s="45" t="n">
        <v>87</v>
      </c>
      <c r="B92" s="45" t="inlineStr">
        <is>
          <t>Smolensk (OCS)</t>
        </is>
      </c>
      <c r="C92" s="45">
        <f>'Histórico Vis Bélica'!N91</f>
        <v/>
      </c>
      <c r="D92" s="45" t="n"/>
      <c r="E92" s="45" t="n">
        <v>0.0455</v>
      </c>
      <c r="F92" s="45" t="n"/>
      <c r="G92" s="45" t="n"/>
    </row>
    <row r="93" ht="15" customHeight="1" s="33">
      <c r="A93" s="43" t="n">
        <v>88</v>
      </c>
      <c r="B93" s="43" t="inlineStr">
        <is>
          <t>Battles of the American Revolution Tri-Pack</t>
        </is>
      </c>
      <c r="C93" s="43">
        <f>'Histórico Vis Bélica'!N138</f>
        <v/>
      </c>
      <c r="D93" s="43" t="n"/>
      <c r="E93" s="43" t="n"/>
      <c r="F93" s="43" t="n"/>
      <c r="G93" s="43" t="n">
        <v>0.1</v>
      </c>
    </row>
    <row r="94" ht="15" customHeight="1" s="33">
      <c r="A94" s="45" t="n">
        <v>89</v>
      </c>
      <c r="B94" s="45" t="inlineStr">
        <is>
          <t>GBACW Gettysburg</t>
        </is>
      </c>
      <c r="C94" s="45">
        <f>'Histórico Vis Bélica'!N92</f>
        <v/>
      </c>
      <c r="D94" s="45" t="n"/>
      <c r="E94" s="45" t="n"/>
      <c r="F94" s="45" t="n">
        <v>0.0577</v>
      </c>
      <c r="G94" s="45" t="n"/>
    </row>
    <row r="95" ht="15" customHeight="1" s="33">
      <c r="A95" s="43" t="n">
        <v>90</v>
      </c>
      <c r="B95" s="43" t="inlineStr">
        <is>
          <t>Serie GCACW</t>
        </is>
      </c>
      <c r="C95" s="43">
        <f>'Histórico Vis Bélica'!N93</f>
        <v/>
      </c>
      <c r="D95" s="43" t="n"/>
      <c r="E95" s="43" t="n"/>
      <c r="F95" s="43" t="n">
        <v>0.0577</v>
      </c>
      <c r="G95" s="43" t="n"/>
    </row>
    <row r="96" ht="15" customHeight="1" s="33">
      <c r="A96" s="45" t="n">
        <v>91</v>
      </c>
      <c r="B96" s="45" t="inlineStr">
        <is>
          <t>The Battle of Normandy</t>
        </is>
      </c>
      <c r="C96" s="45">
        <f>'Histórico Vis Bélica'!N94</f>
        <v/>
      </c>
      <c r="D96" s="45" t="n"/>
      <c r="E96" s="45" t="n"/>
      <c r="F96" s="45" t="n">
        <v>0.0577</v>
      </c>
      <c r="G96" s="45" t="n"/>
    </row>
    <row r="97" ht="15" customHeight="1" s="33">
      <c r="A97" s="43" t="n">
        <v>92</v>
      </c>
      <c r="B97" s="43" t="inlineStr">
        <is>
          <t>Undaunted Battle of britain</t>
        </is>
      </c>
      <c r="C97" s="43">
        <f>'Histórico Vis Bélica'!N95</f>
        <v/>
      </c>
      <c r="D97" s="43" t="n"/>
      <c r="E97" s="43" t="n"/>
      <c r="F97" s="43" t="n">
        <v>0.0577</v>
      </c>
      <c r="G97" s="43" t="n"/>
    </row>
    <row r="98" ht="15" customHeight="1" s="33">
      <c r="A98" s="45" t="n">
        <v>93</v>
      </c>
      <c r="B98" s="45" t="inlineStr">
        <is>
          <t>Wing Leader</t>
        </is>
      </c>
      <c r="C98" s="45">
        <f>'Histórico Vis Bélica'!N96</f>
        <v/>
      </c>
      <c r="D98" s="45" t="n"/>
      <c r="E98" s="45" t="n"/>
      <c r="F98" s="45" t="n">
        <v>0.0577</v>
      </c>
      <c r="G98" s="45" t="n"/>
    </row>
    <row r="99" ht="15" customHeight="1" s="33">
      <c r="A99" s="43" t="n">
        <v>94</v>
      </c>
      <c r="B99" s="43" t="inlineStr">
        <is>
          <t>Battalion S3 Issue 1 (Revista de MMP)</t>
        </is>
      </c>
      <c r="C99" s="43">
        <f>'Histórico Vis Bélica'!N99</f>
        <v/>
      </c>
      <c r="D99" s="43" t="n"/>
      <c r="E99" s="43" t="n"/>
      <c r="F99" s="43" t="n"/>
      <c r="G99" s="43" t="n">
        <v>0.075</v>
      </c>
    </row>
    <row r="100" ht="15" customHeight="1" s="33">
      <c r="A100" s="45" t="n">
        <v>95</v>
      </c>
      <c r="B100" s="45" t="inlineStr">
        <is>
          <t>Divine Right</t>
        </is>
      </c>
      <c r="C100" s="45">
        <f>'Histórico Vis Bélica'!N100</f>
        <v/>
      </c>
      <c r="D100" s="45" t="n"/>
      <c r="E100" s="45" t="n"/>
      <c r="F100" s="45" t="n"/>
      <c r="G100" s="45" t="n">
        <v>0.075</v>
      </c>
    </row>
    <row r="101" ht="15" customHeight="1" s="33">
      <c r="A101" s="43" t="n">
        <v>96</v>
      </c>
      <c r="B101" s="43" t="inlineStr">
        <is>
          <t>Far East war 1592</t>
        </is>
      </c>
      <c r="C101" s="43">
        <f>'Histórico Vis Bélica'!N101</f>
        <v/>
      </c>
      <c r="D101" s="43" t="n"/>
      <c r="E101" s="43" t="n"/>
      <c r="F101" s="43" t="n"/>
      <c r="G101" s="43" t="n">
        <v>0.075</v>
      </c>
    </row>
    <row r="102" ht="15" customHeight="1" s="33">
      <c r="A102" s="45" t="n">
        <v>97</v>
      </c>
      <c r="B102" s="45" t="inlineStr">
        <is>
          <t>Here I Stand</t>
        </is>
      </c>
      <c r="C102" s="45">
        <f>'Histórico Vis Bélica'!N98</f>
        <v/>
      </c>
      <c r="D102" s="45" t="n"/>
      <c r="E102" s="45" t="n"/>
      <c r="F102" s="45" t="n"/>
      <c r="G102" s="45" t="n">
        <v>0.075</v>
      </c>
    </row>
    <row r="103" ht="15" customHeight="1" s="33">
      <c r="A103" s="43" t="n">
        <v>98</v>
      </c>
      <c r="B103" s="43" t="inlineStr">
        <is>
          <t>Men of Iron Tri-Pack</t>
        </is>
      </c>
      <c r="C103" s="43">
        <f>'Histórico Vis Bélica'!N102</f>
        <v/>
      </c>
      <c r="D103" s="43" t="n"/>
      <c r="E103" s="43" t="n"/>
      <c r="F103" s="43" t="n"/>
      <c r="G103" s="43" t="n">
        <v>0.075</v>
      </c>
    </row>
    <row r="104" ht="15" customHeight="1" s="33">
      <c r="A104" s="45" t="n">
        <v>99</v>
      </c>
      <c r="B104" s="45" t="inlineStr">
        <is>
          <t>Senderos de Gloria</t>
        </is>
      </c>
      <c r="C104" s="45">
        <f>'Histórico Vis Bélica'!N97</f>
        <v/>
      </c>
      <c r="D104" s="45" t="n"/>
      <c r="E104" s="45" t="n"/>
      <c r="F104" s="45" t="n"/>
      <c r="G104" s="45" t="n">
        <v>0.075</v>
      </c>
    </row>
    <row r="105" ht="15" customHeight="1" s="33">
      <c r="A105" s="43" t="n">
        <v>100</v>
      </c>
      <c r="B105" s="43" t="inlineStr">
        <is>
          <t>Traces of War</t>
        </is>
      </c>
      <c r="C105" s="43">
        <f>'Histórico Vis Bélica'!N103</f>
        <v/>
      </c>
      <c r="D105" s="43" t="n"/>
      <c r="E105" s="43" t="n"/>
      <c r="F105" s="43" t="n"/>
      <c r="G105" s="43" t="n">
        <v>0.075</v>
      </c>
    </row>
    <row r="106" ht="15" customHeight="1" s="33">
      <c r="A106" s="45" t="n">
        <v>101</v>
      </c>
      <c r="B106" s="45" t="inlineStr">
        <is>
          <t>Battlefields of the Napoleonic Wars</t>
        </is>
      </c>
      <c r="C106" s="45">
        <f>'Histórico Vis Bélica'!N109</f>
        <v/>
      </c>
      <c r="D106" s="45" t="n"/>
      <c r="E106" s="45" t="n"/>
      <c r="F106" s="45" t="n">
        <v>0.0385</v>
      </c>
      <c r="G106" s="45" t="n"/>
    </row>
    <row r="107" ht="15" customHeight="1" s="33">
      <c r="A107" s="43" t="n">
        <v>102</v>
      </c>
      <c r="B107" s="43" t="inlineStr">
        <is>
          <t>Combat 1 compáss games</t>
        </is>
      </c>
      <c r="C107" s="43">
        <f>'Histórico Vis Bélica'!N110</f>
        <v/>
      </c>
      <c r="D107" s="43" t="n"/>
      <c r="E107" s="43" t="n"/>
      <c r="F107" s="43" t="n">
        <v>0.0385</v>
      </c>
      <c r="G107" s="43" t="n"/>
    </row>
    <row r="108" ht="15" customHeight="1" s="33">
      <c r="A108" s="45" t="n">
        <v>103</v>
      </c>
      <c r="B108" s="45" t="inlineStr">
        <is>
          <t>Mud &amp; Blood</t>
        </is>
      </c>
      <c r="C108" s="45">
        <f>'Histórico Vis Bélica'!N111</f>
        <v/>
      </c>
      <c r="D108" s="45" t="n"/>
      <c r="E108" s="45" t="n"/>
      <c r="F108" s="45" t="n">
        <v>0.0385</v>
      </c>
      <c r="G108" s="45" t="n"/>
    </row>
    <row r="109" ht="15" customHeight="1" s="33">
      <c r="A109" s="43" t="n">
        <v>104</v>
      </c>
      <c r="B109" s="43" t="inlineStr">
        <is>
          <t>OCS Korea</t>
        </is>
      </c>
      <c r="C109" s="43">
        <f>'Histórico Vis Bélica'!N112</f>
        <v/>
      </c>
      <c r="D109" s="43" t="n"/>
      <c r="E109" s="43" t="n"/>
      <c r="F109" s="43" t="n">
        <v>0.0385</v>
      </c>
      <c r="G109" s="43" t="n"/>
    </row>
    <row r="110" ht="15" customHeight="1" s="33">
      <c r="A110" s="45" t="n">
        <v>105</v>
      </c>
      <c r="B110" s="45" t="inlineStr">
        <is>
          <t>Serie BCS</t>
        </is>
      </c>
      <c r="C110" s="45">
        <f>'Histórico Vis Bélica'!N113</f>
        <v/>
      </c>
      <c r="D110" s="45" t="n"/>
      <c r="E110" s="45" t="n"/>
      <c r="F110" s="45" t="n">
        <v>0.0385</v>
      </c>
      <c r="G110" s="45" t="n"/>
    </row>
    <row r="111" ht="15" customHeight="1" s="33">
      <c r="A111" s="43" t="n">
        <v>106</v>
      </c>
      <c r="B111" s="43" t="inlineStr">
        <is>
          <t>Undaunted 2200 Callisto</t>
        </is>
      </c>
      <c r="C111" s="43">
        <f>'Histórico Vis Bélica'!N114</f>
        <v/>
      </c>
      <c r="D111" s="43" t="n"/>
      <c r="E111" s="43" t="n"/>
      <c r="F111" s="43" t="n">
        <v>0.0385</v>
      </c>
      <c r="G111" s="43" t="n"/>
    </row>
    <row r="112" ht="15" customHeight="1" s="33">
      <c r="A112" s="45" t="n">
        <v>107</v>
      </c>
      <c r="B112" s="45" t="inlineStr">
        <is>
          <t>Next War: Poland</t>
        </is>
      </c>
      <c r="C112" s="45">
        <f>'Histórico Vis Bélica'!N105</f>
        <v/>
      </c>
      <c r="D112" s="45" t="n"/>
      <c r="E112" s="45" t="n">
        <v>0.0227</v>
      </c>
      <c r="F112" s="45" t="n"/>
      <c r="G112" s="45" t="n"/>
    </row>
    <row r="113" ht="15" customHeight="1" s="33">
      <c r="A113" s="43" t="n">
        <v>108</v>
      </c>
      <c r="B113" s="43" t="inlineStr">
        <is>
          <t>Norman Conquest: Men of Iron</t>
        </is>
      </c>
      <c r="C113" s="43">
        <f>'Histórico Vis Bélica'!N106</f>
        <v/>
      </c>
      <c r="D113" s="43" t="n"/>
      <c r="E113" s="43" t="n">
        <v>0.0227</v>
      </c>
      <c r="F113" s="43" t="n"/>
      <c r="G113" s="43" t="n"/>
    </row>
    <row r="114" ht="15" customHeight="1" s="33">
      <c r="A114" s="45" t="n">
        <v>109</v>
      </c>
      <c r="B114" s="45" t="inlineStr">
        <is>
          <t>US Civil War</t>
        </is>
      </c>
      <c r="C114" s="45">
        <f>'Histórico Vis Bélica'!N107</f>
        <v/>
      </c>
      <c r="D114" s="45" t="n"/>
      <c r="E114" s="45" t="n">
        <v>0.0227</v>
      </c>
      <c r="F114" s="45" t="n"/>
      <c r="G114" s="45" t="n"/>
    </row>
    <row r="115" ht="15" customHeight="1" s="33">
      <c r="A115" s="43" t="n">
        <v>110</v>
      </c>
      <c r="B115" s="43" t="inlineStr">
        <is>
          <t>Warfighter WWII</t>
        </is>
      </c>
      <c r="C115" s="43">
        <f>'Histórico Vis Bélica'!N104</f>
        <v/>
      </c>
      <c r="D115" s="43" t="n"/>
      <c r="E115" s="43" t="n">
        <v>0.0227</v>
      </c>
      <c r="F115" s="43" t="n"/>
      <c r="G115" s="43" t="n"/>
    </row>
    <row r="116" ht="15" customHeight="1" s="33">
      <c r="A116" s="45" t="n">
        <v>111</v>
      </c>
      <c r="B116" s="45" t="inlineStr">
        <is>
          <t>ASL Starter kit 1</t>
        </is>
      </c>
      <c r="C116" s="45">
        <f>'Histórico Vis Bélica'!N116</f>
        <v/>
      </c>
      <c r="D116" s="45" t="n"/>
      <c r="E116" s="45" t="n"/>
      <c r="F116" s="45" t="n"/>
      <c r="G116" s="45" t="n">
        <v>0.05</v>
      </c>
    </row>
    <row r="117" ht="15" customHeight="1" s="33">
      <c r="A117" s="43" t="n">
        <v>112</v>
      </c>
      <c r="B117" s="43" t="inlineStr">
        <is>
          <t>Crisis 1914</t>
        </is>
      </c>
      <c r="C117" s="43">
        <f>'Histórico Vis Bélica'!N117</f>
        <v/>
      </c>
      <c r="D117" s="43" t="n"/>
      <c r="E117" s="43" t="n"/>
      <c r="F117" s="43" t="n"/>
      <c r="G117" s="43" t="n">
        <v>0.05</v>
      </c>
    </row>
    <row r="118" ht="15" customHeight="1" s="33">
      <c r="A118" s="45" t="n">
        <v>113</v>
      </c>
      <c r="B118" s="45" t="inlineStr">
        <is>
          <t>Little Round Top</t>
        </is>
      </c>
      <c r="C118" s="45">
        <f>'Histórico Vis Bélica'!N118</f>
        <v/>
      </c>
      <c r="D118" s="45" t="n"/>
      <c r="E118" s="45" t="n"/>
      <c r="F118" s="45" t="n"/>
      <c r="G118" s="45" t="n">
        <v>0.05</v>
      </c>
    </row>
    <row r="119" ht="15" customHeight="1" s="33">
      <c r="A119" s="43" t="n">
        <v>114</v>
      </c>
      <c r="B119" s="43" t="inlineStr">
        <is>
          <t>Red Dust Rebellion</t>
        </is>
      </c>
      <c r="C119" s="43">
        <f>'Histórico Vis Bélica'!N119</f>
        <v/>
      </c>
      <c r="D119" s="43" t="n"/>
      <c r="E119" s="43" t="n"/>
      <c r="F119" s="43" t="n"/>
      <c r="G119" s="43" t="n">
        <v>0.05</v>
      </c>
    </row>
    <row r="120" ht="15" customHeight="1" s="33">
      <c r="A120" s="45" t="n">
        <v>115</v>
      </c>
      <c r="B120" s="45" t="inlineStr">
        <is>
          <t>Resistencia Holandesa</t>
        </is>
      </c>
      <c r="C120" s="45">
        <f>'Histórico Vis Bélica'!N115</f>
        <v/>
      </c>
      <c r="D120" s="45" t="n"/>
      <c r="E120" s="45" t="n"/>
      <c r="F120" s="45" t="n"/>
      <c r="G120" s="45" t="n">
        <v>0.05</v>
      </c>
    </row>
    <row r="121" ht="15" customHeight="1" s="33">
      <c r="A121" s="43" t="n">
        <v>116</v>
      </c>
      <c r="B121" s="43" t="inlineStr">
        <is>
          <t>Rostov (Serie SCS)</t>
        </is>
      </c>
      <c r="C121" s="43">
        <f>'Histórico Vis Bélica'!N120</f>
        <v/>
      </c>
      <c r="D121" s="43" t="n"/>
      <c r="E121" s="43" t="n"/>
      <c r="F121" s="43" t="n"/>
      <c r="G121" s="43" t="n">
        <v>0.05</v>
      </c>
    </row>
    <row r="122" ht="15" customHeight="1" s="33">
      <c r="A122" s="45" t="n">
        <v>117</v>
      </c>
      <c r="B122" s="45" t="inlineStr">
        <is>
          <t>Valley of Tears</t>
        </is>
      </c>
      <c r="C122" s="45">
        <f>'Histórico Vis Bélica'!N121</f>
        <v/>
      </c>
      <c r="D122" s="45" t="n"/>
      <c r="E122" s="45" t="n"/>
      <c r="F122" s="45" t="n"/>
      <c r="G122" s="45" t="n">
        <v>0.05</v>
      </c>
    </row>
    <row r="123" ht="15" customHeight="1" s="33">
      <c r="A123" s="43" t="n">
        <v>118</v>
      </c>
      <c r="B123" s="43" t="inlineStr">
        <is>
          <t>BCS Brazen Chariots</t>
        </is>
      </c>
      <c r="C123" s="43">
        <f>'Histórico Vis Bélica'!N122</f>
        <v/>
      </c>
      <c r="D123" s="43" t="n"/>
      <c r="E123" s="43" t="n"/>
      <c r="F123" s="43" t="n">
        <v>0.0192</v>
      </c>
      <c r="G123" s="43" t="n"/>
    </row>
    <row r="124" ht="15" customHeight="1" s="33">
      <c r="A124" s="45" t="n">
        <v>119</v>
      </c>
      <c r="B124" s="45" t="inlineStr">
        <is>
          <t>Hannibal</t>
        </is>
      </c>
      <c r="C124" s="45">
        <f>'Histórico Vis Bélica'!N123</f>
        <v/>
      </c>
      <c r="D124" s="45" t="n"/>
      <c r="E124" s="45" t="n"/>
      <c r="F124" s="45" t="n">
        <v>0.0192</v>
      </c>
      <c r="G124" s="45" t="n"/>
    </row>
    <row r="125" ht="15" customHeight="1" s="33">
      <c r="A125" s="43" t="n">
        <v>120</v>
      </c>
      <c r="B125" s="43" t="inlineStr">
        <is>
          <t>Panzer North Africa</t>
        </is>
      </c>
      <c r="C125" s="43">
        <f>'Histórico Vis Bélica'!N124</f>
        <v/>
      </c>
      <c r="D125" s="43" t="n"/>
      <c r="E125" s="43" t="n"/>
      <c r="F125" s="43" t="n">
        <v>0.0192</v>
      </c>
      <c r="G125" s="43" t="n"/>
    </row>
    <row r="126" ht="15" customHeight="1" s="33">
      <c r="A126" s="45" t="n">
        <v>121</v>
      </c>
      <c r="B126" s="45" t="inlineStr">
        <is>
          <t>Band of Brothers Screaming Eagles</t>
        </is>
      </c>
      <c r="C126" s="45">
        <f>'Histórico Vis Bélica'!N127</f>
        <v/>
      </c>
      <c r="D126" s="45" t="n"/>
      <c r="E126" s="45" t="n"/>
      <c r="F126" s="45" t="n"/>
      <c r="G126" s="45" t="n">
        <v>0.025</v>
      </c>
    </row>
    <row r="127" ht="15" customHeight="1" s="33">
      <c r="A127" s="43" t="n">
        <v>122</v>
      </c>
      <c r="B127" s="43" t="inlineStr">
        <is>
          <t>Battle Commander: Volume I</t>
        </is>
      </c>
      <c r="C127" s="43">
        <f>'Histórico Vis Bélica'!N128</f>
        <v/>
      </c>
      <c r="D127" s="43" t="n"/>
      <c r="E127" s="43" t="n"/>
      <c r="F127" s="43" t="n"/>
      <c r="G127" s="43" t="n">
        <v>0.025</v>
      </c>
    </row>
    <row r="128" ht="15" customHeight="1" s="33">
      <c r="A128" s="45" t="n">
        <v>123</v>
      </c>
      <c r="B128" s="45" t="inlineStr">
        <is>
          <t>By Iron and Blood</t>
        </is>
      </c>
      <c r="C128" s="45">
        <f>'Histórico Vis Bélica'!N129</f>
        <v/>
      </c>
      <c r="D128" s="45" t="n"/>
      <c r="E128" s="45" t="n"/>
      <c r="F128" s="45" t="n"/>
      <c r="G128" s="45" t="n">
        <v>0.025</v>
      </c>
    </row>
    <row r="129" ht="15" customHeight="1" s="33">
      <c r="A129" s="43" t="n">
        <v>124</v>
      </c>
      <c r="B129" s="43" t="inlineStr">
        <is>
          <t>Combat! Volumen 1</t>
        </is>
      </c>
      <c r="C129" s="43">
        <f>'Histórico Vis Bélica'!N130</f>
        <v/>
      </c>
      <c r="D129" s="43" t="n"/>
      <c r="E129" s="43" t="n"/>
      <c r="F129" s="43" t="n"/>
      <c r="G129" s="43" t="n">
        <v>0.025</v>
      </c>
    </row>
    <row r="130" ht="15" customHeight="1" s="33">
      <c r="A130" s="45" t="n">
        <v>125</v>
      </c>
      <c r="B130" s="45" t="inlineStr">
        <is>
          <t>El Otro Lado de la Colina</t>
        </is>
      </c>
      <c r="C130" s="45">
        <f>'Histórico Vis Bélica'!N146</f>
        <v/>
      </c>
      <c r="D130" s="45" t="n"/>
      <c r="E130" s="45" t="n"/>
      <c r="F130" s="45" t="n"/>
      <c r="G130" s="45" t="n">
        <v>0.025</v>
      </c>
    </row>
    <row r="131" ht="15" customHeight="1" s="33">
      <c r="A131" s="43" t="n">
        <v>126</v>
      </c>
      <c r="B131" s="43" t="inlineStr">
        <is>
          <t>Héroes Of Normandie</t>
        </is>
      </c>
      <c r="C131" s="43">
        <f>'Histórico Vis Bélica'!N131</f>
        <v/>
      </c>
      <c r="D131" s="43" t="n"/>
      <c r="E131" s="43" t="n"/>
      <c r="F131" s="43" t="n"/>
      <c r="G131" s="43" t="n">
        <v>0.025</v>
      </c>
    </row>
    <row r="132" ht="15" customHeight="1" s="33">
      <c r="A132" s="45" t="n">
        <v>127</v>
      </c>
      <c r="B132" s="45" t="inlineStr">
        <is>
          <t>Kanal</t>
        </is>
      </c>
      <c r="C132" s="45">
        <f>'Histórico Vis Bélica'!N125</f>
        <v/>
      </c>
      <c r="D132" s="45" t="n"/>
      <c r="E132" s="45" t="n"/>
      <c r="F132" s="45" t="n"/>
      <c r="G132" s="45" t="n">
        <v>0.025</v>
      </c>
    </row>
    <row r="133" ht="15" customHeight="1" s="33">
      <c r="A133" s="43" t="n">
        <v>128</v>
      </c>
      <c r="B133" s="43" t="inlineStr">
        <is>
          <t>Operación Bollebank</t>
        </is>
      </c>
      <c r="C133" s="43">
        <f>'Histórico Vis Bélica'!N132</f>
        <v/>
      </c>
      <c r="D133" s="43" t="n"/>
      <c r="E133" s="43" t="n"/>
      <c r="F133" s="43" t="n"/>
      <c r="G133" s="43" t="n">
        <v>0.025</v>
      </c>
    </row>
    <row r="134" ht="15" customHeight="1" s="33">
      <c r="A134" s="45" t="n">
        <v>129</v>
      </c>
      <c r="B134" s="45" t="inlineStr">
        <is>
          <t>Poland Defiant: The German Invasion, September 1939</t>
        </is>
      </c>
      <c r="C134" s="45">
        <f>'Histórico Vis Bélica'!N133</f>
        <v/>
      </c>
      <c r="D134" s="45" t="n"/>
      <c r="E134" s="45" t="n"/>
      <c r="F134" s="45" t="n"/>
      <c r="G134" s="45" t="n">
        <v>0.025</v>
      </c>
    </row>
    <row r="135" ht="15" customHeight="1" s="33">
      <c r="A135" s="43" t="n">
        <v>130</v>
      </c>
      <c r="B135" s="43" t="inlineStr">
        <is>
          <t>RAF</t>
        </is>
      </c>
      <c r="C135" s="43">
        <f>'Histórico Vis Bélica'!N134</f>
        <v/>
      </c>
      <c r="D135" s="43" t="n"/>
      <c r="E135" s="43" t="n"/>
      <c r="F135" s="43" t="n"/>
      <c r="G135" s="43" t="n">
        <v>0.025</v>
      </c>
    </row>
    <row r="136" ht="15" customHeight="1" s="33">
      <c r="A136" s="45" t="n">
        <v>131</v>
      </c>
      <c r="B136" s="45" t="inlineStr">
        <is>
          <t>Virgin Queen</t>
        </is>
      </c>
      <c r="C136" s="45">
        <f>'Histórico Vis Bélica'!N126</f>
        <v/>
      </c>
      <c r="D136" s="45" t="n"/>
      <c r="E136" s="45" t="n"/>
      <c r="F136" s="45" t="n"/>
      <c r="G136" s="45" t="n">
        <v>0.025</v>
      </c>
    </row>
    <row r="137" ht="15" customHeight="1" s="33">
      <c r="A137" s="43" t="n">
        <v>132</v>
      </c>
      <c r="B137" s="43" t="inlineStr">
        <is>
          <t>Almoravid</t>
        </is>
      </c>
      <c r="C137" s="43">
        <f>'Histórico Vis Bélica'!N137</f>
        <v/>
      </c>
      <c r="D137" s="43" t="n"/>
      <c r="E137" s="43" t="n"/>
      <c r="F137" s="43" t="n"/>
      <c r="G137" s="43" t="n"/>
    </row>
    <row r="138" ht="15" customHeight="1" s="33">
      <c r="A138" s="45" t="n">
        <v>133</v>
      </c>
      <c r="B138" s="45" t="inlineStr">
        <is>
          <t>Axis Empires: Ultimate Edition</t>
        </is>
      </c>
      <c r="C138" s="45">
        <f>'Histórico Vis Bélica'!N141</f>
        <v/>
      </c>
      <c r="D138" s="45" t="n"/>
      <c r="E138" s="45" t="n"/>
      <c r="F138" s="45" t="n"/>
      <c r="G138" s="45" t="n"/>
    </row>
    <row r="139" ht="15" customHeight="1" s="33">
      <c r="A139" s="43" t="n">
        <v>134</v>
      </c>
      <c r="B139" s="43" t="inlineStr">
        <is>
          <t>Combat! Eastern Front</t>
        </is>
      </c>
      <c r="C139" s="43">
        <f>'Histórico Vis Bélica'!N142</f>
        <v/>
      </c>
      <c r="D139" s="43" t="n"/>
      <c r="E139" s="43" t="n"/>
      <c r="F139" s="43" t="n"/>
      <c r="G139" s="43" t="n"/>
    </row>
    <row r="140" ht="15" customHeight="1" s="33">
      <c r="A140" s="45" t="n">
        <v>135</v>
      </c>
      <c r="B140" s="45" t="inlineStr">
        <is>
          <t>Founding Fathers</t>
        </is>
      </c>
      <c r="C140" s="45">
        <f>'Histórico Vis Bélica'!N139</f>
        <v/>
      </c>
      <c r="D140" s="45" t="n"/>
      <c r="E140" s="45" t="n"/>
      <c r="F140" s="45" t="n"/>
      <c r="G140" s="45" t="n"/>
    </row>
    <row r="141" ht="15" customHeight="1" s="33">
      <c r="A141" s="43" t="n">
        <v>136</v>
      </c>
      <c r="B141" s="43" t="inlineStr">
        <is>
          <t>Gunslinger</t>
        </is>
      </c>
      <c r="C141" s="43">
        <f>'Histórico Vis Bélica'!N147</f>
        <v/>
      </c>
      <c r="D141" s="43" t="n"/>
      <c r="E141" s="43" t="n"/>
      <c r="F141" s="43" t="n"/>
      <c r="G141" s="43" t="n"/>
    </row>
    <row r="142" ht="15" customHeight="1" s="33">
      <c r="A142" s="45" t="n">
        <v>137</v>
      </c>
      <c r="B142" s="45" t="inlineStr">
        <is>
          <t>Monty's Gamble: Market Garden</t>
        </is>
      </c>
      <c r="C142" s="45">
        <f>'Histórico Vis Bélica'!N140</f>
        <v/>
      </c>
      <c r="D142" s="45" t="n"/>
      <c r="E142" s="45" t="n"/>
      <c r="F142" s="45" t="n"/>
      <c r="G142" s="45" t="n"/>
    </row>
    <row r="143" ht="15" customHeight="1" s="33">
      <c r="A143" s="43" t="n">
        <v>138</v>
      </c>
      <c r="B143" s="43" t="inlineStr">
        <is>
          <t>Skies Above Britain</t>
        </is>
      </c>
      <c r="C143" s="43">
        <f>'Histórico Vis Bélica'!N135</f>
        <v/>
      </c>
      <c r="D143" s="43" t="n"/>
      <c r="E143" s="43" t="n"/>
      <c r="F143" s="43" t="n"/>
      <c r="G143" s="43" t="n"/>
    </row>
    <row r="144" ht="15" customHeight="1" s="33">
      <c r="A144" s="45" t="n">
        <v>139</v>
      </c>
      <c r="B144" s="45" t="inlineStr">
        <is>
          <t>Stonewall in the Valley</t>
        </is>
      </c>
      <c r="C144" s="45">
        <f>'Histórico Vis Bélica'!N136</f>
        <v/>
      </c>
      <c r="D144" s="45" t="n"/>
      <c r="E144" s="45" t="n"/>
      <c r="F144" s="45" t="n"/>
      <c r="G144" s="45" t="n"/>
    </row>
    <row r="145" ht="15" customHeight="1" s="33">
      <c r="A145" s="43" t="n">
        <v>140</v>
      </c>
      <c r="B145" s="43" t="inlineStr">
        <is>
          <t>The Rock of Chickamauga</t>
        </is>
      </c>
      <c r="C145" s="43">
        <f>'Histórico Vis Bélica'!N145</f>
        <v/>
      </c>
      <c r="D145" s="43" t="n"/>
      <c r="E145" s="43" t="n"/>
      <c r="F145" s="43" t="n"/>
      <c r="G145" s="43" t="n"/>
    </row>
    <row r="146" ht="15" customHeight="1" s="33">
      <c r="A146" s="45" t="n">
        <v>141</v>
      </c>
      <c r="B146" s="45" t="inlineStr">
        <is>
          <t>The Shores of Tripoli</t>
        </is>
      </c>
      <c r="C146" s="45">
        <f>'Histórico Vis Bélica'!N143</f>
        <v/>
      </c>
      <c r="D146" s="45" t="n"/>
      <c r="E146" s="45" t="n"/>
      <c r="F146" s="45" t="n"/>
      <c r="G146" s="45" t="n"/>
    </row>
    <row r="147" ht="15" customHeight="1" s="33">
      <c r="A147" s="43" t="n">
        <v>142</v>
      </c>
      <c r="B147" s="43" t="inlineStr">
        <is>
          <t>Undaunted: Callisto</t>
        </is>
      </c>
      <c r="C147" s="43">
        <f>'Histórico Vis Bélica'!N144</f>
        <v/>
      </c>
      <c r="D147" s="43" t="n"/>
      <c r="E147" s="43" t="n"/>
      <c r="F147" s="43" t="n"/>
      <c r="G147" s="4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42" customWidth="1" style="32" min="2" max="2"/>
    <col width="7" customWidth="1" style="32" min="3" max="3"/>
    <col width="6" customWidth="1" style="32" min="4" max="6"/>
    <col width="7" customWidth="1" style="32" min="7" max="7"/>
  </cols>
  <sheetData>
    <row r="1" ht="17.25" customHeight="1" s="33">
      <c r="A1" s="46" t="inlineStr">
        <is>
          <t>RANKING VIS BÉLICA — JULIO 2026 (wargames)</t>
        </is>
      </c>
    </row>
    <row r="2" ht="15" customHeight="1" s="33">
      <c r="A2" s="47" t="inlineStr">
        <is>
          <t>Criterio ESTRICTO: hex&amp;counter, CDG y bloques (rancios de verdad). Ver lista acordada.</t>
        </is>
      </c>
    </row>
    <row r="3" ht="15" customHeight="1" s="33">
      <c r="A3" s="48" t="inlineStr">
        <is>
          <t>Wargames: 35    Votos de guerra: 39 de 170</t>
        </is>
      </c>
    </row>
    <row r="5" ht="15" customHeight="1" s="33">
      <c r="A5" s="49" t="inlineStr">
        <is>
          <t>Pos</t>
        </is>
      </c>
      <c r="B5" s="49" t="inlineStr">
        <is>
          <t>Juego</t>
        </is>
      </c>
      <c r="C5" s="49" t="inlineStr">
        <is>
          <t>Pts</t>
        </is>
      </c>
      <c r="D5" s="49" t="inlineStr">
        <is>
          <t>Nº1</t>
        </is>
      </c>
      <c r="E5" s="49" t="inlineStr">
        <is>
          <t>Nº2</t>
        </is>
      </c>
      <c r="F5" s="49" t="inlineStr">
        <is>
          <t>Nº3</t>
        </is>
      </c>
      <c r="G5" s="49" t="inlineStr">
        <is>
          <t>Votos</t>
        </is>
      </c>
    </row>
    <row r="6" ht="15" customHeight="1" s="33">
      <c r="A6" s="50" t="n">
        <v>1</v>
      </c>
      <c r="B6" s="50" t="inlineStr">
        <is>
          <t>D-Day at Omaha Beach</t>
        </is>
      </c>
      <c r="C6" s="50" t="n">
        <v>16</v>
      </c>
      <c r="D6" s="50" t="n">
        <v>3</v>
      </c>
      <c r="E6" s="50" t="n">
        <v>3</v>
      </c>
      <c r="F6" s="50" t="n">
        <v>1</v>
      </c>
      <c r="G6" s="50" t="n">
        <v>7</v>
      </c>
    </row>
    <row r="7" ht="15" customHeight="1" s="33">
      <c r="A7" s="51" t="n">
        <v>2</v>
      </c>
      <c r="B7" s="51" t="inlineStr">
        <is>
          <t>Guerra del Anillo</t>
        </is>
      </c>
      <c r="C7" s="51" t="n">
        <v>12</v>
      </c>
      <c r="D7" s="51" t="n">
        <v>3</v>
      </c>
      <c r="E7" s="51" t="n">
        <v>1</v>
      </c>
      <c r="F7" s="51" t="n">
        <v>1</v>
      </c>
      <c r="G7" s="51" t="n">
        <v>5</v>
      </c>
    </row>
    <row r="8" ht="15" customHeight="1" s="33">
      <c r="A8" s="52" t="n">
        <v>3</v>
      </c>
      <c r="B8" s="52" t="inlineStr">
        <is>
          <t>Dune: War for Arrakis</t>
        </is>
      </c>
      <c r="C8" s="52" t="n">
        <v>8</v>
      </c>
      <c r="D8" s="52" t="n">
        <v>1</v>
      </c>
      <c r="E8" s="52" t="n">
        <v>2</v>
      </c>
      <c r="F8" s="52" t="n">
        <v>1</v>
      </c>
      <c r="G8" s="52" t="n">
        <v>4</v>
      </c>
    </row>
    <row r="9" ht="15" customHeight="1" s="33">
      <c r="A9" s="53" t="n">
        <v>4</v>
      </c>
      <c r="B9" s="53" t="inlineStr">
        <is>
          <t>Quartermaster General: South Front</t>
        </is>
      </c>
      <c r="C9" s="53" t="n">
        <v>4</v>
      </c>
      <c r="D9" s="53" t="n">
        <v>1</v>
      </c>
      <c r="E9" s="53" t="n">
        <v>0</v>
      </c>
      <c r="F9" s="53" t="n">
        <v>1</v>
      </c>
      <c r="G9" s="53" t="n">
        <v>2</v>
      </c>
    </row>
    <row r="10" ht="15" customHeight="1" s="33">
      <c r="A10" s="54" t="n">
        <v>5</v>
      </c>
      <c r="B10" s="54" t="inlineStr">
        <is>
          <t>Army of the Potomac</t>
        </is>
      </c>
      <c r="C10" s="54" t="n">
        <v>3</v>
      </c>
      <c r="D10" s="54" t="n">
        <v>1</v>
      </c>
      <c r="E10" s="54" t="n">
        <v>0</v>
      </c>
      <c r="F10" s="54" t="n">
        <v>0</v>
      </c>
      <c r="G10" s="54" t="n">
        <v>1</v>
      </c>
    </row>
    <row r="11" ht="15" customHeight="1" s="33">
      <c r="A11" s="53" t="n">
        <v>6</v>
      </c>
      <c r="B11" s="53" t="inlineStr">
        <is>
          <t>Danger Forward: The Battle of Gela, July 1943</t>
        </is>
      </c>
      <c r="C11" s="53" t="n">
        <v>3</v>
      </c>
      <c r="D11" s="53" t="n">
        <v>1</v>
      </c>
      <c r="E11" s="53" t="n">
        <v>0</v>
      </c>
      <c r="F11" s="53" t="n">
        <v>0</v>
      </c>
      <c r="G11" s="53" t="n">
        <v>1</v>
      </c>
    </row>
    <row r="12" ht="15" customHeight="1" s="33">
      <c r="A12" s="54" t="n">
        <v>7</v>
      </c>
      <c r="B12" s="54" t="inlineStr">
        <is>
          <t>Enemy Action: Kharkov</t>
        </is>
      </c>
      <c r="C12" s="54" t="n">
        <v>3</v>
      </c>
      <c r="D12" s="54" t="n">
        <v>1</v>
      </c>
      <c r="E12" s="54" t="n">
        <v>0</v>
      </c>
      <c r="F12" s="54" t="n">
        <v>0</v>
      </c>
      <c r="G12" s="54" t="n">
        <v>1</v>
      </c>
    </row>
    <row r="13" ht="15" customHeight="1" s="33">
      <c r="A13" s="53" t="n">
        <v>8</v>
      </c>
      <c r="B13" s="53" t="inlineStr">
        <is>
          <t>Fields of Fire</t>
        </is>
      </c>
      <c r="C13" s="53" t="n">
        <v>3</v>
      </c>
      <c r="D13" s="53" t="n">
        <v>1</v>
      </c>
      <c r="E13" s="53" t="n">
        <v>0</v>
      </c>
      <c r="F13" s="53" t="n">
        <v>0</v>
      </c>
      <c r="G13" s="53" t="n">
        <v>1</v>
      </c>
    </row>
    <row r="14" ht="15" customHeight="1" s="33">
      <c r="A14" s="54" t="n">
        <v>9</v>
      </c>
      <c r="B14" s="54" t="inlineStr">
        <is>
          <t>Paths of Glory</t>
        </is>
      </c>
      <c r="C14" s="54" t="n">
        <v>3</v>
      </c>
      <c r="D14" s="54" t="n">
        <v>1</v>
      </c>
      <c r="E14" s="54" t="n">
        <v>0</v>
      </c>
      <c r="F14" s="54" t="n">
        <v>0</v>
      </c>
      <c r="G14" s="54" t="n">
        <v>1</v>
      </c>
    </row>
    <row r="15" ht="15" customHeight="1" s="33">
      <c r="A15" s="53" t="n">
        <v>10</v>
      </c>
      <c r="B15" s="53" t="inlineStr">
        <is>
          <t>Stalingrad: Advanced to the Volga</t>
        </is>
      </c>
      <c r="C15" s="53" t="n">
        <v>3</v>
      </c>
      <c r="D15" s="53" t="n">
        <v>1</v>
      </c>
      <c r="E15" s="53" t="n">
        <v>0</v>
      </c>
      <c r="F15" s="53" t="n">
        <v>0</v>
      </c>
      <c r="G15" s="53" t="n">
        <v>1</v>
      </c>
    </row>
    <row r="16" ht="15" customHeight="1" s="33">
      <c r="A16" s="54" t="n">
        <v>11</v>
      </c>
      <c r="B16" s="54" t="inlineStr">
        <is>
          <t>Struggle of Empires</t>
        </is>
      </c>
      <c r="C16" s="54" t="n">
        <v>3</v>
      </c>
      <c r="D16" s="54" t="n">
        <v>1</v>
      </c>
      <c r="E16" s="54" t="n">
        <v>0</v>
      </c>
      <c r="F16" s="54" t="n">
        <v>0</v>
      </c>
      <c r="G16" s="54" t="n">
        <v>1</v>
      </c>
    </row>
    <row r="17" ht="15" customHeight="1" s="33">
      <c r="A17" s="53" t="n">
        <v>12</v>
      </c>
      <c r="B17" s="53" t="inlineStr">
        <is>
          <t>Three days of Gettysburg</t>
        </is>
      </c>
      <c r="C17" s="53" t="n">
        <v>3</v>
      </c>
      <c r="D17" s="53" t="n">
        <v>1</v>
      </c>
      <c r="E17" s="53" t="n">
        <v>0</v>
      </c>
      <c r="F17" s="53" t="n">
        <v>0</v>
      </c>
      <c r="G17" s="53" t="n">
        <v>1</v>
      </c>
    </row>
    <row r="18" ht="15" customHeight="1" s="33">
      <c r="A18" s="54" t="n">
        <v>13</v>
      </c>
      <c r="B18" s="54" t="inlineStr">
        <is>
          <t>1812: War on the Great Lakes Frontier</t>
        </is>
      </c>
      <c r="C18" s="54" t="n">
        <v>2</v>
      </c>
      <c r="D18" s="54" t="n">
        <v>0</v>
      </c>
      <c r="E18" s="54" t="n">
        <v>1</v>
      </c>
      <c r="F18" s="54" t="n">
        <v>0</v>
      </c>
      <c r="G18" s="54" t="n">
        <v>1</v>
      </c>
    </row>
    <row r="19" ht="15" customHeight="1" s="33">
      <c r="A19" s="53" t="n">
        <v>14</v>
      </c>
      <c r="B19" s="53" t="inlineStr">
        <is>
          <t>Atlantic Chase</t>
        </is>
      </c>
      <c r="C19" s="53" t="n">
        <v>2</v>
      </c>
      <c r="D19" s="53" t="n">
        <v>0</v>
      </c>
      <c r="E19" s="53" t="n">
        <v>1</v>
      </c>
      <c r="F19" s="53" t="n">
        <v>0</v>
      </c>
      <c r="G19" s="53" t="n">
        <v>1</v>
      </c>
    </row>
    <row r="20" ht="15" customHeight="1" s="33">
      <c r="A20" s="54" t="n">
        <v>15</v>
      </c>
      <c r="B20" s="54" t="inlineStr">
        <is>
          <t>Combat Commander: Pacific</t>
        </is>
      </c>
      <c r="C20" s="54" t="n">
        <v>2</v>
      </c>
      <c r="D20" s="54" t="n">
        <v>0</v>
      </c>
      <c r="E20" s="54" t="n">
        <v>1</v>
      </c>
      <c r="F20" s="54" t="n">
        <v>0</v>
      </c>
      <c r="G20" s="54" t="n">
        <v>1</v>
      </c>
    </row>
    <row r="21" ht="15" customHeight="1" s="33">
      <c r="A21" s="53" t="n">
        <v>16</v>
      </c>
      <c r="B21" s="53" t="inlineStr">
        <is>
          <t>Cruzada y Revolución</t>
        </is>
      </c>
      <c r="C21" s="53" t="n">
        <v>2</v>
      </c>
      <c r="D21" s="53" t="n">
        <v>0</v>
      </c>
      <c r="E21" s="53" t="n">
        <v>1</v>
      </c>
      <c r="F21" s="53" t="n">
        <v>0</v>
      </c>
      <c r="G21" s="53" t="n">
        <v>1</v>
      </c>
    </row>
    <row r="22" ht="15" customHeight="1" s="33">
      <c r="A22" s="54" t="n">
        <v>17</v>
      </c>
      <c r="B22" s="54" t="inlineStr">
        <is>
          <t>Iwo jima el infierno en la tierra</t>
        </is>
      </c>
      <c r="C22" s="54" t="n">
        <v>2</v>
      </c>
      <c r="D22" s="54" t="n">
        <v>0</v>
      </c>
      <c r="E22" s="54" t="n">
        <v>1</v>
      </c>
      <c r="F22" s="54" t="n">
        <v>0</v>
      </c>
      <c r="G22" s="54" t="n">
        <v>1</v>
      </c>
    </row>
    <row r="23" ht="15" customHeight="1" s="33">
      <c r="A23" s="53" t="n">
        <v>18</v>
      </c>
      <c r="B23" s="53" t="inlineStr">
        <is>
          <t>Onus!</t>
        </is>
      </c>
      <c r="C23" s="53" t="n">
        <v>2</v>
      </c>
      <c r="D23" s="53" t="n">
        <v>0</v>
      </c>
      <c r="E23" s="53" t="n">
        <v>1</v>
      </c>
      <c r="F23" s="53" t="n">
        <v>0</v>
      </c>
      <c r="G23" s="53" t="n">
        <v>1</v>
      </c>
    </row>
    <row r="24" ht="15" customHeight="1" s="33">
      <c r="A24" s="54" t="n">
        <v>19</v>
      </c>
      <c r="B24" s="54" t="inlineStr">
        <is>
          <t>Pursuit of Glory</t>
        </is>
      </c>
      <c r="C24" s="54" t="n">
        <v>2</v>
      </c>
      <c r="D24" s="54" t="n">
        <v>0</v>
      </c>
      <c r="E24" s="54" t="n">
        <v>1</v>
      </c>
      <c r="F24" s="54" t="n">
        <v>0</v>
      </c>
      <c r="G24" s="54" t="n">
        <v>1</v>
      </c>
    </row>
    <row r="25" ht="15" customHeight="1" s="33">
      <c r="A25" s="53" t="n">
        <v>20</v>
      </c>
      <c r="B25" s="53" t="inlineStr">
        <is>
          <t>Quartermaster General: East Front</t>
        </is>
      </c>
      <c r="C25" s="53" t="n">
        <v>2</v>
      </c>
      <c r="D25" s="53" t="n">
        <v>0</v>
      </c>
      <c r="E25" s="53" t="n">
        <v>1</v>
      </c>
      <c r="F25" s="53" t="n">
        <v>0</v>
      </c>
      <c r="G25" s="53" t="n">
        <v>1</v>
      </c>
    </row>
    <row r="26" ht="15" customHeight="1" s="33">
      <c r="A26" s="54" t="n">
        <v>21</v>
      </c>
      <c r="B26" s="54" t="inlineStr">
        <is>
          <t>Smolensk (OCS)</t>
        </is>
      </c>
      <c r="C26" s="54" t="n">
        <v>2</v>
      </c>
      <c r="D26" s="54" t="n">
        <v>0</v>
      </c>
      <c r="E26" s="54" t="n">
        <v>1</v>
      </c>
      <c r="F26" s="54" t="n">
        <v>0</v>
      </c>
      <c r="G26" s="54" t="n">
        <v>1</v>
      </c>
    </row>
    <row r="27" ht="15" customHeight="1" s="33">
      <c r="A27" s="53" t="n">
        <v>22</v>
      </c>
      <c r="B27" s="53" t="inlineStr">
        <is>
          <t>Star Wars: La Batalla de Hoth</t>
        </is>
      </c>
      <c r="C27" s="53" t="n">
        <v>2</v>
      </c>
      <c r="D27" s="53" t="n">
        <v>0</v>
      </c>
      <c r="E27" s="53" t="n">
        <v>1</v>
      </c>
      <c r="F27" s="53" t="n">
        <v>0</v>
      </c>
      <c r="G27" s="53" t="n">
        <v>1</v>
      </c>
    </row>
    <row r="28" ht="15" customHeight="1" s="33">
      <c r="A28" s="54" t="n">
        <v>23</v>
      </c>
      <c r="B28" s="54" t="inlineStr">
        <is>
          <t>The russian campaign</t>
        </is>
      </c>
      <c r="C28" s="54" t="n">
        <v>2</v>
      </c>
      <c r="D28" s="54" t="n">
        <v>0</v>
      </c>
      <c r="E28" s="54" t="n">
        <v>1</v>
      </c>
      <c r="F28" s="54" t="n">
        <v>0</v>
      </c>
      <c r="G28" s="54" t="n">
        <v>1</v>
      </c>
    </row>
    <row r="29" ht="15" customHeight="1" s="33">
      <c r="A29" s="53" t="n">
        <v>24</v>
      </c>
      <c r="B29" s="53" t="inlineStr">
        <is>
          <t>Undaunted Stalingrad</t>
        </is>
      </c>
      <c r="C29" s="53" t="n">
        <v>2</v>
      </c>
      <c r="D29" s="53" t="n">
        <v>0</v>
      </c>
      <c r="E29" s="53" t="n">
        <v>1</v>
      </c>
      <c r="F29" s="53" t="n">
        <v>0</v>
      </c>
      <c r="G29" s="53" t="n">
        <v>1</v>
      </c>
    </row>
    <row r="30" ht="15" customHeight="1" s="33">
      <c r="A30" s="54" t="n">
        <v>25</v>
      </c>
      <c r="B30" s="54" t="inlineStr">
        <is>
          <t>300: Tierra y Agua</t>
        </is>
      </c>
      <c r="C30" s="54" t="n">
        <v>1</v>
      </c>
      <c r="D30" s="54" t="n">
        <v>0</v>
      </c>
      <c r="E30" s="54" t="n">
        <v>0</v>
      </c>
      <c r="F30" s="54" t="n">
        <v>1</v>
      </c>
      <c r="G30" s="54" t="n">
        <v>1</v>
      </c>
    </row>
    <row r="31" ht="15" customHeight="1" s="33">
      <c r="A31" s="53" t="n">
        <v>26</v>
      </c>
      <c r="B31" s="53" t="inlineStr">
        <is>
          <t>Next War: Iran</t>
        </is>
      </c>
      <c r="C31" s="53" t="n">
        <v>1</v>
      </c>
      <c r="D31" s="53" t="n">
        <v>0</v>
      </c>
      <c r="E31" s="53" t="n">
        <v>0</v>
      </c>
      <c r="F31" s="53" t="n">
        <v>1</v>
      </c>
      <c r="G31" s="53" t="n">
        <v>1</v>
      </c>
    </row>
    <row r="32" ht="15" customHeight="1" s="33">
      <c r="A32" s="54" t="n">
        <v>27</v>
      </c>
      <c r="B32" s="54" t="inlineStr">
        <is>
          <t>Next War: Poland</t>
        </is>
      </c>
      <c r="C32" s="54" t="n">
        <v>1</v>
      </c>
      <c r="D32" s="54" t="n">
        <v>0</v>
      </c>
      <c r="E32" s="54" t="n">
        <v>0</v>
      </c>
      <c r="F32" s="54" t="n">
        <v>1</v>
      </c>
      <c r="G32" s="54" t="n">
        <v>1</v>
      </c>
    </row>
    <row r="33" ht="15" customHeight="1" s="33">
      <c r="A33" s="53" t="n">
        <v>28</v>
      </c>
      <c r="B33" s="53" t="inlineStr">
        <is>
          <t>Norman Conquest: Men of Iron</t>
        </is>
      </c>
      <c r="C33" s="53" t="n">
        <v>1</v>
      </c>
      <c r="D33" s="53" t="n">
        <v>0</v>
      </c>
      <c r="E33" s="53" t="n">
        <v>0</v>
      </c>
      <c r="F33" s="53" t="n">
        <v>1</v>
      </c>
      <c r="G33" s="53" t="n">
        <v>1</v>
      </c>
    </row>
    <row r="34" ht="15" customHeight="1" s="33">
      <c r="A34" s="54" t="n">
        <v>29</v>
      </c>
      <c r="B34" s="54" t="inlineStr">
        <is>
          <t>Operation Overlord</t>
        </is>
      </c>
      <c r="C34" s="54" t="n">
        <v>1</v>
      </c>
      <c r="D34" s="54" t="n">
        <v>0</v>
      </c>
      <c r="E34" s="54" t="n">
        <v>0</v>
      </c>
      <c r="F34" s="54" t="n">
        <v>1</v>
      </c>
      <c r="G34" s="54" t="n">
        <v>1</v>
      </c>
    </row>
    <row r="35" ht="15" customHeight="1" s="33">
      <c r="A35" s="53" t="n">
        <v>30</v>
      </c>
      <c r="B35" s="53" t="inlineStr">
        <is>
          <t>SCS Fallschimjaeger</t>
        </is>
      </c>
      <c r="C35" s="53" t="n">
        <v>1</v>
      </c>
      <c r="D35" s="53" t="n">
        <v>0</v>
      </c>
      <c r="E35" s="53" t="n">
        <v>0</v>
      </c>
      <c r="F35" s="53" t="n">
        <v>1</v>
      </c>
      <c r="G35" s="53" t="n">
        <v>1</v>
      </c>
    </row>
    <row r="36" ht="15" customHeight="1" s="33">
      <c r="A36" s="54" t="n">
        <v>31</v>
      </c>
      <c r="B36" s="54" t="inlineStr">
        <is>
          <t>Triumph and Tragedy</t>
        </is>
      </c>
      <c r="C36" s="54" t="n">
        <v>1</v>
      </c>
      <c r="D36" s="54" t="n">
        <v>0</v>
      </c>
      <c r="E36" s="54" t="n">
        <v>0</v>
      </c>
      <c r="F36" s="54" t="n">
        <v>1</v>
      </c>
      <c r="G36" s="54" t="n">
        <v>1</v>
      </c>
    </row>
    <row r="37" ht="15" customHeight="1" s="33">
      <c r="A37" s="53" t="n">
        <v>32</v>
      </c>
      <c r="B37" s="53" t="inlineStr">
        <is>
          <t>Twilight Struggle</t>
        </is>
      </c>
      <c r="C37" s="53" t="n">
        <v>1</v>
      </c>
      <c r="D37" s="53" t="n">
        <v>0</v>
      </c>
      <c r="E37" s="53" t="n">
        <v>0</v>
      </c>
      <c r="F37" s="53" t="n">
        <v>1</v>
      </c>
      <c r="G37" s="53" t="n">
        <v>1</v>
      </c>
    </row>
    <row r="38" ht="15" customHeight="1" s="33">
      <c r="A38" s="54" t="n">
        <v>33</v>
      </c>
      <c r="B38" s="54" t="inlineStr">
        <is>
          <t>US Civil War</t>
        </is>
      </c>
      <c r="C38" s="54" t="n">
        <v>1</v>
      </c>
      <c r="D38" s="54" t="n">
        <v>0</v>
      </c>
      <c r="E38" s="54" t="n">
        <v>0</v>
      </c>
      <c r="F38" s="54" t="n">
        <v>1</v>
      </c>
      <c r="G38" s="54" t="n">
        <v>1</v>
      </c>
    </row>
    <row r="39" ht="15" customHeight="1" s="33">
      <c r="A39" s="53" t="n">
        <v>34</v>
      </c>
      <c r="B39" s="53" t="inlineStr">
        <is>
          <t>Warfighter WWII</t>
        </is>
      </c>
      <c r="C39" s="53" t="n">
        <v>1</v>
      </c>
      <c r="D39" s="53" t="n">
        <v>0</v>
      </c>
      <c r="E39" s="53" t="n">
        <v>0</v>
      </c>
      <c r="F39" s="53" t="n">
        <v>1</v>
      </c>
      <c r="G39" s="53" t="n">
        <v>1</v>
      </c>
    </row>
    <row r="40" ht="15" customHeight="1" s="33">
      <c r="A40" s="54" t="n">
        <v>35</v>
      </c>
      <c r="B40" s="54" t="inlineStr">
        <is>
          <t>Washington's War</t>
        </is>
      </c>
      <c r="C40" s="54" t="n">
        <v>1</v>
      </c>
      <c r="D40" s="54" t="n">
        <v>0</v>
      </c>
      <c r="E40" s="54" t="n">
        <v>0</v>
      </c>
      <c r="F40" s="54" t="n">
        <v>1</v>
      </c>
      <c r="G40" s="54" t="n">
        <v>1</v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G10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42" customWidth="1" style="32" min="2" max="2"/>
    <col width="9" customWidth="1" style="32" min="3" max="7"/>
  </cols>
  <sheetData>
    <row r="1" ht="17.25" customHeight="1" s="33">
      <c r="A1" s="46" t="inlineStr">
        <is>
          <t>POWER RANKING VIS BÉLICA — JULIO 2026</t>
        </is>
      </c>
    </row>
    <row r="2" ht="15" customHeight="1" s="33">
      <c r="A2" s="47" t="inlineStr">
        <is>
          <t>Score = 0,7×norm.jul + 0,3×(0,5×jun + 0,3×may + 0,2×abr)  |  Normalizado sobre votantes de guerra de cada mes</t>
        </is>
      </c>
    </row>
    <row r="3" ht="15" customHeight="1" s="33">
      <c r="A3" s="55" t="inlineStr">
        <is>
          <t>Votos de guerra por mes -&gt; Abr: 29 | May: 35 | Jun: 47 | Jul: 39</t>
        </is>
      </c>
    </row>
    <row r="5" ht="15" customHeight="1" s="33">
      <c r="A5" s="49" t="inlineStr">
        <is>
          <t>Pos</t>
        </is>
      </c>
      <c r="B5" s="49" t="inlineStr">
        <is>
          <t>Juego</t>
        </is>
      </c>
      <c r="C5" s="49" t="inlineStr">
        <is>
          <t>Score</t>
        </is>
      </c>
      <c r="D5" s="49" t="inlineStr">
        <is>
          <t>Norm Jul</t>
        </is>
      </c>
      <c r="E5" s="49" t="inlineStr">
        <is>
          <t>Norm Jun</t>
        </is>
      </c>
      <c r="F5" s="49" t="inlineStr">
        <is>
          <t>Norm May</t>
        </is>
      </c>
      <c r="G5" s="49" t="inlineStr">
        <is>
          <t>Norm Abr</t>
        </is>
      </c>
    </row>
    <row r="6" ht="15" customHeight="1" s="33">
      <c r="A6" s="50" t="n">
        <v>1</v>
      </c>
      <c r="B6" s="50" t="inlineStr">
        <is>
          <t>D-Day at Omaha Beach</t>
        </is>
      </c>
      <c r="C6" s="50" t="n">
        <v>0.4402</v>
      </c>
      <c r="D6" s="50" t="n">
        <v>0.41</v>
      </c>
      <c r="E6" s="50" t="n">
        <v>0.4894</v>
      </c>
      <c r="F6" s="50" t="n">
        <v>0.6571</v>
      </c>
      <c r="G6" s="50" t="n">
        <v>0.3448</v>
      </c>
    </row>
    <row r="7" ht="15" customHeight="1" s="33">
      <c r="A7" s="51" t="n">
        <v>2</v>
      </c>
      <c r="B7" s="51" t="inlineStr">
        <is>
          <t>Guerra del Anillo</t>
        </is>
      </c>
      <c r="C7" s="51" t="n">
        <v>0.2156</v>
      </c>
      <c r="D7" s="51" t="n">
        <v>0.308</v>
      </c>
      <c r="E7" s="51" t="n">
        <v>0</v>
      </c>
      <c r="F7" s="51" t="n">
        <v>0</v>
      </c>
      <c r="G7" s="51" t="n">
        <v>0</v>
      </c>
    </row>
    <row r="8" ht="15" customHeight="1" s="33">
      <c r="A8" s="52" t="n">
        <v>3</v>
      </c>
      <c r="B8" s="52" t="inlineStr">
        <is>
          <t>Dune: War for Arrakis</t>
        </is>
      </c>
      <c r="C8" s="52" t="n">
        <v>0.1518</v>
      </c>
      <c r="D8" s="52" t="n">
        <v>0.205</v>
      </c>
      <c r="E8" s="52" t="n">
        <v>0</v>
      </c>
      <c r="F8" s="52" t="n">
        <v>0</v>
      </c>
      <c r="G8" s="52" t="n">
        <v>0.1379</v>
      </c>
    </row>
    <row r="9" ht="15" customHeight="1" s="33">
      <c r="A9" s="53" t="n">
        <v>4</v>
      </c>
      <c r="B9" s="53" t="inlineStr">
        <is>
          <t>Struggle of Empires</t>
        </is>
      </c>
      <c r="C9" s="53" t="n">
        <v>0.0856</v>
      </c>
      <c r="D9" s="53" t="n">
        <v>0.077</v>
      </c>
      <c r="E9" s="53" t="n">
        <v>0.1702</v>
      </c>
      <c r="F9" s="53" t="n">
        <v>0</v>
      </c>
      <c r="G9" s="53" t="n">
        <v>0.1034</v>
      </c>
    </row>
    <row r="10" ht="15" customHeight="1" s="33">
      <c r="A10" s="54" t="n">
        <v>5</v>
      </c>
      <c r="B10" s="54" t="inlineStr">
        <is>
          <t>Quartermaster General: South Front</t>
        </is>
      </c>
      <c r="C10" s="54" t="n">
        <v>0.0785</v>
      </c>
      <c r="D10" s="54" t="n">
        <v>0.103</v>
      </c>
      <c r="E10" s="54" t="n">
        <v>0.0426</v>
      </c>
      <c r="F10" s="54" t="n">
        <v>0</v>
      </c>
      <c r="G10" s="54" t="n">
        <v>0</v>
      </c>
    </row>
    <row r="11" ht="15" customHeight="1" s="33">
      <c r="A11" s="53" t="n">
        <v>6</v>
      </c>
      <c r="B11" s="53" t="inlineStr">
        <is>
          <t>Fields of Fire</t>
        </is>
      </c>
      <c r="C11" s="53" t="n">
        <v>0.07820000000000001</v>
      </c>
      <c r="D11" s="53" t="n">
        <v>0.077</v>
      </c>
      <c r="E11" s="53" t="n">
        <v>0.1277</v>
      </c>
      <c r="F11" s="53" t="n">
        <v>0.0571</v>
      </c>
      <c r="G11" s="53" t="n">
        <v>0</v>
      </c>
    </row>
    <row r="12" ht="15" customHeight="1" s="33">
      <c r="A12" s="54" t="n">
        <v>7</v>
      </c>
      <c r="B12" s="54" t="inlineStr">
        <is>
          <t>The russian campaign</t>
        </is>
      </c>
      <c r="C12" s="54" t="n">
        <v>0.06320000000000001</v>
      </c>
      <c r="D12" s="54" t="n">
        <v>0.051</v>
      </c>
      <c r="E12" s="54" t="n">
        <v>0.1489</v>
      </c>
      <c r="F12" s="54" t="n">
        <v>0.0571</v>
      </c>
      <c r="G12" s="54" t="n">
        <v>0</v>
      </c>
    </row>
    <row r="13" ht="15" customHeight="1" s="33">
      <c r="A13" s="53" t="n">
        <v>8</v>
      </c>
      <c r="B13" s="53" t="inlineStr">
        <is>
          <t>Skies Above Britain</t>
        </is>
      </c>
      <c r="C13" s="53" t="n">
        <v>0.06</v>
      </c>
      <c r="D13" s="53" t="n"/>
      <c r="E13" s="53" t="n">
        <v>0</v>
      </c>
      <c r="F13" s="53" t="n">
        <v>0</v>
      </c>
      <c r="G13" s="53" t="n">
        <v>0</v>
      </c>
    </row>
    <row r="14" ht="15" customHeight="1" s="33">
      <c r="A14" s="54" t="n">
        <v>9</v>
      </c>
      <c r="B14" s="54" t="inlineStr">
        <is>
          <t>Stonewall in the Valley</t>
        </is>
      </c>
      <c r="C14" s="54" t="n">
        <v>0.06</v>
      </c>
      <c r="D14" s="54" t="n"/>
      <c r="E14" s="54" t="n">
        <v>0</v>
      </c>
      <c r="F14" s="54" t="n">
        <v>0</v>
      </c>
      <c r="G14" s="54" t="n">
        <v>0</v>
      </c>
    </row>
    <row r="15" ht="15" customHeight="1" s="33">
      <c r="A15" s="53" t="n">
        <v>10</v>
      </c>
      <c r="B15" s="53" t="inlineStr">
        <is>
          <t>Paths of Glory</t>
        </is>
      </c>
      <c r="C15" s="53" t="n">
        <v>0.0592</v>
      </c>
      <c r="D15" s="53" t="n">
        <v>0.077</v>
      </c>
      <c r="E15" s="53" t="n">
        <v>0.0213</v>
      </c>
      <c r="F15" s="53" t="n">
        <v>0</v>
      </c>
      <c r="G15" s="53" t="n">
        <v>0.0345</v>
      </c>
    </row>
    <row r="16" ht="15" customHeight="1" s="33">
      <c r="A16" s="54" t="n">
        <v>11</v>
      </c>
      <c r="B16" s="54" t="inlineStr">
        <is>
          <t>Twilight Struggle</t>
        </is>
      </c>
      <c r="C16" s="54" t="n">
        <v>0.059</v>
      </c>
      <c r="D16" s="54" t="n">
        <v>0.026</v>
      </c>
      <c r="E16" s="54" t="n">
        <v>0.1277</v>
      </c>
      <c r="F16" s="54" t="n">
        <v>0.1714</v>
      </c>
      <c r="G16" s="54" t="n">
        <v>0.1034</v>
      </c>
    </row>
    <row r="17" ht="15" customHeight="1" s="33">
      <c r="A17" s="53" t="n">
        <v>12</v>
      </c>
      <c r="B17" s="53" t="inlineStr">
        <is>
          <t>Army of the Potomac</t>
        </is>
      </c>
      <c r="C17" s="53" t="n">
        <v>0.0571</v>
      </c>
      <c r="D17" s="53" t="n">
        <v>0.077</v>
      </c>
      <c r="E17" s="53" t="n">
        <v>0.0213</v>
      </c>
      <c r="F17" s="53" t="n">
        <v>0</v>
      </c>
      <c r="G17" s="53" t="n">
        <v>0</v>
      </c>
    </row>
    <row r="18" ht="15" customHeight="1" s="33">
      <c r="A18" s="54" t="n">
        <v>13</v>
      </c>
      <c r="B18" s="54" t="inlineStr">
        <is>
          <t>Enemy Action: Kharkov</t>
        </is>
      </c>
      <c r="C18" s="54" t="n">
        <v>0.0565</v>
      </c>
      <c r="D18" s="54" t="n">
        <v>0.077</v>
      </c>
      <c r="E18" s="54" t="n">
        <v>0</v>
      </c>
      <c r="F18" s="54" t="n">
        <v>0.0286</v>
      </c>
      <c r="G18" s="54" t="n">
        <v>0</v>
      </c>
    </row>
    <row r="19" ht="15" customHeight="1" s="33">
      <c r="A19" s="53" t="n">
        <v>14</v>
      </c>
      <c r="B19" s="53" t="inlineStr">
        <is>
          <t>Danger Forward: The Battle of Gela, July 1943</t>
        </is>
      </c>
      <c r="C19" s="53" t="n">
        <v>0.0539</v>
      </c>
      <c r="D19" s="53" t="n">
        <v>0.077</v>
      </c>
      <c r="E19" s="53" t="n">
        <v>0</v>
      </c>
      <c r="F19" s="53" t="n">
        <v>0</v>
      </c>
      <c r="G19" s="53" t="n">
        <v>0</v>
      </c>
    </row>
    <row r="20" ht="15" customHeight="1" s="33">
      <c r="A20" s="54" t="n">
        <v>15</v>
      </c>
      <c r="B20" s="54" t="inlineStr">
        <is>
          <t>Stalingrad: Advanced to the Volga</t>
        </is>
      </c>
      <c r="C20" s="54" t="n">
        <v>0.0539</v>
      </c>
      <c r="D20" s="54" t="n">
        <v>0.077</v>
      </c>
      <c r="E20" s="54" t="n">
        <v>0</v>
      </c>
      <c r="F20" s="54" t="n">
        <v>0</v>
      </c>
      <c r="G20" s="54" t="n">
        <v>0</v>
      </c>
    </row>
    <row r="21" ht="15" customHeight="1" s="33">
      <c r="A21" s="53" t="n">
        <v>16</v>
      </c>
      <c r="B21" s="53" t="inlineStr">
        <is>
          <t>Three days of Gettysburg</t>
        </is>
      </c>
      <c r="C21" s="53" t="n">
        <v>0.0539</v>
      </c>
      <c r="D21" s="53" t="n">
        <v>0.077</v>
      </c>
      <c r="E21" s="53" t="n">
        <v>0</v>
      </c>
      <c r="F21" s="53" t="n">
        <v>0</v>
      </c>
      <c r="G21" s="53" t="n">
        <v>0</v>
      </c>
    </row>
    <row r="22" ht="15" customHeight="1" s="33">
      <c r="A22" s="54" t="n">
        <v>17</v>
      </c>
      <c r="B22" s="54" t="inlineStr">
        <is>
          <t>Pursuit of Glory</t>
        </is>
      </c>
      <c r="C22" s="54" t="n">
        <v>0.053</v>
      </c>
      <c r="D22" s="54" t="n">
        <v>0.051</v>
      </c>
      <c r="E22" s="54" t="n">
        <v>0.0638</v>
      </c>
      <c r="F22" s="54" t="n">
        <v>0.0857</v>
      </c>
      <c r="G22" s="54" t="n">
        <v>0</v>
      </c>
    </row>
    <row r="23" ht="15" customHeight="1" s="33">
      <c r="A23" s="53" t="n">
        <v>18</v>
      </c>
      <c r="B23" s="53" t="inlineStr">
        <is>
          <t>Star Wars: La Batalla de Hoth</t>
        </is>
      </c>
      <c r="C23" s="53" t="n">
        <v>0.0523</v>
      </c>
      <c r="D23" s="53" t="n">
        <v>0.051</v>
      </c>
      <c r="E23" s="53" t="n">
        <v>0</v>
      </c>
      <c r="F23" s="53" t="n">
        <v>0</v>
      </c>
      <c r="G23" s="53" t="n">
        <v>0.2759</v>
      </c>
    </row>
    <row r="24" ht="15" customHeight="1" s="33">
      <c r="A24" s="54" t="n">
        <v>19</v>
      </c>
      <c r="B24" s="54" t="inlineStr">
        <is>
          <t>Undaunted Stalingrad</t>
        </is>
      </c>
      <c r="C24" s="54" t="n">
        <v>0.0517</v>
      </c>
      <c r="D24" s="54" t="n">
        <v>0.051</v>
      </c>
      <c r="E24" s="54" t="n">
        <v>0.1064</v>
      </c>
      <c r="F24" s="54" t="n">
        <v>0</v>
      </c>
      <c r="G24" s="54" t="n">
        <v>0</v>
      </c>
    </row>
    <row r="25" ht="15" customHeight="1" s="33">
      <c r="A25" s="53" t="n">
        <v>20</v>
      </c>
      <c r="B25" s="53" t="inlineStr">
        <is>
          <t>Asturias 1936-1937</t>
        </is>
      </c>
      <c r="C25" s="53" t="n">
        <v>0.0511</v>
      </c>
      <c r="D25" s="53" t="n"/>
      <c r="E25" s="53" t="n">
        <v>0.1702</v>
      </c>
      <c r="F25" s="53" t="n">
        <v>0</v>
      </c>
      <c r="G25" s="53" t="n">
        <v>0</v>
      </c>
    </row>
    <row r="26" ht="15" customHeight="1" s="33">
      <c r="A26" s="54" t="n">
        <v>21</v>
      </c>
      <c r="B26" s="54" t="inlineStr">
        <is>
          <t>Operation Overlord</t>
        </is>
      </c>
      <c r="C26" s="54" t="n">
        <v>0.0495</v>
      </c>
      <c r="D26" s="54" t="n">
        <v>0.026</v>
      </c>
      <c r="E26" s="54" t="n">
        <v>0.1915</v>
      </c>
      <c r="F26" s="54" t="n">
        <v>0.0286</v>
      </c>
      <c r="G26" s="54" t="n">
        <v>0</v>
      </c>
    </row>
    <row r="27" ht="15" customHeight="1" s="33">
      <c r="A27" s="53" t="n">
        <v>22</v>
      </c>
      <c r="B27" s="53" t="inlineStr">
        <is>
          <t>Cruzada y Revolución</t>
        </is>
      </c>
      <c r="C27" s="53" t="n">
        <v>0.0462</v>
      </c>
      <c r="D27" s="53" t="n">
        <v>0.051</v>
      </c>
      <c r="E27" s="53" t="n">
        <v>0.0426</v>
      </c>
      <c r="F27" s="53" t="n">
        <v>0</v>
      </c>
      <c r="G27" s="53" t="n">
        <v>0.06900000000000001</v>
      </c>
    </row>
    <row r="28" ht="15" customHeight="1" s="33">
      <c r="A28" s="54" t="n">
        <v>23</v>
      </c>
      <c r="B28" s="54" t="inlineStr">
        <is>
          <t>Iwo jima el infierno en la tierra</t>
        </is>
      </c>
      <c r="C28" s="54" t="n">
        <v>0.0453</v>
      </c>
      <c r="D28" s="54" t="n">
        <v>0.051</v>
      </c>
      <c r="E28" s="54" t="n">
        <v>0.0638</v>
      </c>
      <c r="F28" s="54" t="n">
        <v>0</v>
      </c>
      <c r="G28" s="54" t="n">
        <v>0</v>
      </c>
    </row>
    <row r="29" ht="15" customHeight="1" s="33">
      <c r="A29" s="53" t="n">
        <v>24</v>
      </c>
      <c r="B29" s="53" t="inlineStr">
        <is>
          <t>Onus!</t>
        </is>
      </c>
      <c r="C29" s="53" t="n">
        <v>0.0421</v>
      </c>
      <c r="D29" s="53" t="n">
        <v>0.051</v>
      </c>
      <c r="E29" s="53" t="n">
        <v>0.0426</v>
      </c>
      <c r="F29" s="53" t="n">
        <v>0</v>
      </c>
      <c r="G29" s="53" t="n">
        <v>0</v>
      </c>
    </row>
    <row r="30" ht="15" customHeight="1" s="33">
      <c r="A30" s="54" t="n">
        <v>25</v>
      </c>
      <c r="B30" s="54" t="inlineStr">
        <is>
          <t>Una Guerra Imposible</t>
        </is>
      </c>
      <c r="C30" s="54" t="n">
        <v>0.04</v>
      </c>
      <c r="D30" s="54" t="n"/>
      <c r="E30" s="54" t="n">
        <v>0</v>
      </c>
      <c r="F30" s="54" t="n">
        <v>0</v>
      </c>
      <c r="G30" s="54" t="n">
        <v>0</v>
      </c>
    </row>
    <row r="31" ht="15" customHeight="1" s="33">
      <c r="A31" s="53" t="n">
        <v>26</v>
      </c>
      <c r="B31" s="53" t="inlineStr">
        <is>
          <t>Senderos de Gloria</t>
        </is>
      </c>
      <c r="C31" s="53" t="n">
        <v>0.0389</v>
      </c>
      <c r="D31" s="53" t="n"/>
      <c r="E31" s="53" t="n">
        <v>0</v>
      </c>
      <c r="F31" s="53" t="n">
        <v>0.0857</v>
      </c>
      <c r="G31" s="53" t="n">
        <v>0.1034</v>
      </c>
    </row>
    <row r="32" ht="15" customHeight="1" s="33">
      <c r="A32" s="54" t="n">
        <v>27</v>
      </c>
      <c r="B32" s="54" t="inlineStr">
        <is>
          <t>1812: War on the Great Lakes Frontier</t>
        </is>
      </c>
      <c r="C32" s="54" t="n">
        <v>0.0357</v>
      </c>
      <c r="D32" s="54" t="n">
        <v>0.051</v>
      </c>
      <c r="E32" s="54" t="n">
        <v>0</v>
      </c>
      <c r="F32" s="54" t="n">
        <v>0</v>
      </c>
      <c r="G32" s="54" t="n">
        <v>0</v>
      </c>
    </row>
    <row r="33" ht="15" customHeight="1" s="33">
      <c r="A33" s="53" t="n">
        <v>28</v>
      </c>
      <c r="B33" s="53" t="inlineStr">
        <is>
          <t>Atlantic Chase</t>
        </is>
      </c>
      <c r="C33" s="53" t="n">
        <v>0.0357</v>
      </c>
      <c r="D33" s="53" t="n">
        <v>0.051</v>
      </c>
      <c r="E33" s="53" t="n">
        <v>0</v>
      </c>
      <c r="F33" s="53" t="n">
        <v>0</v>
      </c>
      <c r="G33" s="53" t="n">
        <v>0</v>
      </c>
    </row>
    <row r="34" ht="15" customHeight="1" s="33">
      <c r="A34" s="54" t="n">
        <v>29</v>
      </c>
      <c r="B34" s="54" t="inlineStr">
        <is>
          <t>Combat Commander: Pacific</t>
        </is>
      </c>
      <c r="C34" s="54" t="n">
        <v>0.0357</v>
      </c>
      <c r="D34" s="54" t="n">
        <v>0.051</v>
      </c>
      <c r="E34" s="54" t="n">
        <v>0</v>
      </c>
      <c r="F34" s="54" t="n">
        <v>0</v>
      </c>
      <c r="G34" s="54" t="n">
        <v>0</v>
      </c>
    </row>
    <row r="35" ht="15" customHeight="1" s="33">
      <c r="A35" s="53" t="n">
        <v>30</v>
      </c>
      <c r="B35" s="53" t="inlineStr">
        <is>
          <t>Quartermaster General: East Front</t>
        </is>
      </c>
      <c r="C35" s="53" t="n">
        <v>0.0357</v>
      </c>
      <c r="D35" s="53" t="n">
        <v>0.051</v>
      </c>
      <c r="E35" s="53" t="n">
        <v>0</v>
      </c>
      <c r="F35" s="53" t="n">
        <v>0</v>
      </c>
      <c r="G35" s="53" t="n">
        <v>0</v>
      </c>
    </row>
    <row r="36" ht="15" customHeight="1" s="33">
      <c r="A36" s="54" t="n">
        <v>31</v>
      </c>
      <c r="B36" s="54" t="inlineStr">
        <is>
          <t>Smolensk (OCS)</t>
        </is>
      </c>
      <c r="C36" s="54" t="n">
        <v>0.0357</v>
      </c>
      <c r="D36" s="54" t="n">
        <v>0.051</v>
      </c>
      <c r="E36" s="54" t="n">
        <v>0</v>
      </c>
      <c r="F36" s="54" t="n">
        <v>0</v>
      </c>
      <c r="G36" s="54" t="n">
        <v>0</v>
      </c>
    </row>
    <row r="37" ht="15" customHeight="1" s="33">
      <c r="A37" s="53" t="n">
        <v>32</v>
      </c>
      <c r="B37" s="53" t="inlineStr">
        <is>
          <t>Washington's War</t>
        </is>
      </c>
      <c r="C37" s="53" t="n">
        <v>0.0355</v>
      </c>
      <c r="D37" s="53" t="n">
        <v>0.026</v>
      </c>
      <c r="E37" s="53" t="n">
        <v>0.0638</v>
      </c>
      <c r="F37" s="53" t="n">
        <v>0.0857</v>
      </c>
      <c r="G37" s="53" t="n">
        <v>0</v>
      </c>
    </row>
    <row r="38" ht="15" customHeight="1" s="33">
      <c r="A38" s="54" t="n">
        <v>33</v>
      </c>
      <c r="B38" s="54" t="inlineStr">
        <is>
          <t>Triumph and Tragedy</t>
        </is>
      </c>
      <c r="C38" s="54" t="n">
        <v>0.0337</v>
      </c>
      <c r="D38" s="54" t="n">
        <v>0.026</v>
      </c>
      <c r="E38" s="54" t="n">
        <v>0</v>
      </c>
      <c r="F38" s="54" t="n">
        <v>0.0571</v>
      </c>
      <c r="G38" s="54" t="n">
        <v>0.1724</v>
      </c>
    </row>
    <row r="39" ht="15" customHeight="1" s="33">
      <c r="A39" s="53" t="n">
        <v>34</v>
      </c>
      <c r="B39" s="53" t="inlineStr">
        <is>
          <t>Resistencia Holandesa</t>
        </is>
      </c>
      <c r="C39" s="53" t="n">
        <v>0.0326</v>
      </c>
      <c r="D39" s="53" t="n"/>
      <c r="E39" s="53" t="n">
        <v>0</v>
      </c>
      <c r="F39" s="53" t="n">
        <v>0.0571</v>
      </c>
      <c r="G39" s="53" t="n">
        <v>0.06900000000000001</v>
      </c>
    </row>
    <row r="40" ht="15" customHeight="1" s="33">
      <c r="A40" s="54" t="n">
        <v>35</v>
      </c>
      <c r="B40" s="54" t="inlineStr">
        <is>
          <t>Imperial Struggle</t>
        </is>
      </c>
      <c r="C40" s="54" t="n">
        <v>0.0323</v>
      </c>
      <c r="D40" s="54" t="n"/>
      <c r="E40" s="54" t="n">
        <v>0.0426</v>
      </c>
      <c r="F40" s="54" t="n">
        <v>0</v>
      </c>
      <c r="G40" s="54" t="n">
        <v>0.1724</v>
      </c>
    </row>
    <row r="41" ht="15" customHeight="1" s="33">
      <c r="A41" s="53" t="n">
        <v>36</v>
      </c>
      <c r="B41" s="53" t="inlineStr">
        <is>
          <t>Urban Operations</t>
        </is>
      </c>
      <c r="C41" s="53" t="n">
        <v>0.0319</v>
      </c>
      <c r="D41" s="53" t="n"/>
      <c r="E41" s="53" t="n">
        <v>0.1064</v>
      </c>
      <c r="F41" s="53" t="n">
        <v>0</v>
      </c>
      <c r="G41" s="53" t="n">
        <v>0</v>
      </c>
    </row>
    <row r="42" ht="15" customHeight="1" s="33">
      <c r="A42" s="54" t="n">
        <v>37</v>
      </c>
      <c r="B42" s="54" t="inlineStr">
        <is>
          <t>Almoravid</t>
        </is>
      </c>
      <c r="C42" s="54" t="n">
        <v>0.031</v>
      </c>
      <c r="D42" s="54" t="n"/>
      <c r="E42" s="54" t="n">
        <v>0</v>
      </c>
      <c r="F42" s="54" t="n">
        <v>0</v>
      </c>
      <c r="G42" s="54" t="n">
        <v>0.1034</v>
      </c>
    </row>
    <row r="43" ht="15" customHeight="1" s="33">
      <c r="A43" s="53" t="n">
        <v>38</v>
      </c>
      <c r="B43" s="53" t="inlineStr">
        <is>
          <t>Battles of the American Revolution Tri-Pack</t>
        </is>
      </c>
      <c r="C43" s="53" t="n">
        <v>0.031</v>
      </c>
      <c r="D43" s="53" t="n"/>
      <c r="E43" s="53" t="n">
        <v>0</v>
      </c>
      <c r="F43" s="53" t="n">
        <v>0</v>
      </c>
      <c r="G43" s="53" t="n">
        <v>0.1034</v>
      </c>
    </row>
    <row r="44" ht="15" customHeight="1" s="33">
      <c r="A44" s="54" t="n">
        <v>39</v>
      </c>
      <c r="B44" s="54" t="inlineStr">
        <is>
          <t>Founding Fathers</t>
        </is>
      </c>
      <c r="C44" s="54" t="n">
        <v>0.031</v>
      </c>
      <c r="D44" s="54" t="n"/>
      <c r="E44" s="54" t="n">
        <v>0</v>
      </c>
      <c r="F44" s="54" t="n">
        <v>0</v>
      </c>
      <c r="G44" s="54" t="n">
        <v>0.1034</v>
      </c>
    </row>
    <row r="45" ht="15" customHeight="1" s="33">
      <c r="A45" s="53" t="n">
        <v>40</v>
      </c>
      <c r="B45" s="53" t="inlineStr">
        <is>
          <t>Monty's Gamble: Market Garden</t>
        </is>
      </c>
      <c r="C45" s="53" t="n">
        <v>0.031</v>
      </c>
      <c r="D45" s="53" t="n"/>
      <c r="E45" s="53" t="n">
        <v>0</v>
      </c>
      <c r="F45" s="53" t="n">
        <v>0</v>
      </c>
      <c r="G45" s="53" t="n">
        <v>0.1034</v>
      </c>
    </row>
    <row r="46" ht="15" customHeight="1" s="33">
      <c r="A46" s="54" t="n">
        <v>41</v>
      </c>
      <c r="B46" s="54" t="inlineStr">
        <is>
          <t>Here I Stand</t>
        </is>
      </c>
      <c r="C46" s="54" t="n">
        <v>0.0284</v>
      </c>
      <c r="D46" s="54" t="n"/>
      <c r="E46" s="54" t="n">
        <v>0</v>
      </c>
      <c r="F46" s="54" t="n">
        <v>0.0857</v>
      </c>
      <c r="G46" s="54" t="n">
        <v>0.1034</v>
      </c>
    </row>
    <row r="47" ht="15" customHeight="1" s="33">
      <c r="A47" s="53" t="n">
        <v>42</v>
      </c>
      <c r="B47" s="53" t="inlineStr">
        <is>
          <t>Battalion S3 Issue 1 (Revista de MMP)</t>
        </is>
      </c>
      <c r="C47" s="53" t="n">
        <v>0.0257</v>
      </c>
      <c r="D47" s="53" t="n"/>
      <c r="E47" s="53" t="n">
        <v>0</v>
      </c>
      <c r="F47" s="53" t="n">
        <v>0.0857</v>
      </c>
      <c r="G47" s="53" t="n">
        <v>0</v>
      </c>
    </row>
    <row r="48" ht="15" customHeight="1" s="33">
      <c r="A48" s="54" t="n">
        <v>43</v>
      </c>
      <c r="B48" s="54" t="inlineStr">
        <is>
          <t>Close Quarters Battles: Waterloo</t>
        </is>
      </c>
      <c r="C48" s="54" t="n">
        <v>0.0257</v>
      </c>
      <c r="D48" s="54" t="n"/>
      <c r="E48" s="54" t="n">
        <v>0</v>
      </c>
      <c r="F48" s="54" t="n">
        <v>0.0857</v>
      </c>
      <c r="G48" s="54" t="n">
        <v>0</v>
      </c>
    </row>
    <row r="49" ht="15" customHeight="1" s="33">
      <c r="A49" s="53" t="n">
        <v>44</v>
      </c>
      <c r="B49" s="53" t="inlineStr">
        <is>
          <t>Divine Right</t>
        </is>
      </c>
      <c r="C49" s="53" t="n">
        <v>0.0257</v>
      </c>
      <c r="D49" s="53" t="n"/>
      <c r="E49" s="53" t="n">
        <v>0</v>
      </c>
      <c r="F49" s="53" t="n">
        <v>0.0857</v>
      </c>
      <c r="G49" s="53" t="n">
        <v>0</v>
      </c>
    </row>
    <row r="50" ht="15" customHeight="1" s="33">
      <c r="A50" s="54" t="n">
        <v>45</v>
      </c>
      <c r="B50" s="54" t="inlineStr">
        <is>
          <t>El imperio del sol</t>
        </is>
      </c>
      <c r="C50" s="54" t="n">
        <v>0.0257</v>
      </c>
      <c r="D50" s="54" t="n"/>
      <c r="E50" s="54" t="n">
        <v>0</v>
      </c>
      <c r="F50" s="54" t="n">
        <v>0.0857</v>
      </c>
      <c r="G50" s="54" t="n">
        <v>0</v>
      </c>
    </row>
    <row r="51" ht="15" customHeight="1" s="33">
      <c r="A51" s="53" t="n">
        <v>46</v>
      </c>
      <c r="B51" s="53" t="inlineStr">
        <is>
          <t>Far East war 1592</t>
        </is>
      </c>
      <c r="C51" s="53" t="n">
        <v>0.0257</v>
      </c>
      <c r="D51" s="53" t="n"/>
      <c r="E51" s="53" t="n">
        <v>0</v>
      </c>
      <c r="F51" s="53" t="n">
        <v>0.0857</v>
      </c>
      <c r="G51" s="53" t="n">
        <v>0</v>
      </c>
    </row>
    <row r="52" ht="15" customHeight="1" s="33">
      <c r="A52" s="54" t="n">
        <v>47</v>
      </c>
      <c r="B52" s="54" t="inlineStr">
        <is>
          <t>Men of Iron Tri-Pack</t>
        </is>
      </c>
      <c r="C52" s="54" t="n">
        <v>0.0257</v>
      </c>
      <c r="D52" s="54" t="n"/>
      <c r="E52" s="54" t="n">
        <v>0</v>
      </c>
      <c r="F52" s="54" t="n">
        <v>0.0857</v>
      </c>
      <c r="G52" s="54" t="n">
        <v>0</v>
      </c>
    </row>
    <row r="53" ht="15" customHeight="1" s="33">
      <c r="A53" s="53" t="n">
        <v>48</v>
      </c>
      <c r="B53" s="53" t="inlineStr">
        <is>
          <t>Stonewall Jackson Way II</t>
        </is>
      </c>
      <c r="C53" s="53" t="n">
        <v>0.0257</v>
      </c>
      <c r="D53" s="53" t="n"/>
      <c r="E53" s="53" t="n">
        <v>0</v>
      </c>
      <c r="F53" s="53" t="n">
        <v>0.0857</v>
      </c>
      <c r="G53" s="53" t="n">
        <v>0</v>
      </c>
    </row>
    <row r="54" ht="15" customHeight="1" s="33">
      <c r="A54" s="54" t="n">
        <v>49</v>
      </c>
      <c r="B54" s="54" t="inlineStr">
        <is>
          <t>Traces of War</t>
        </is>
      </c>
      <c r="C54" s="54" t="n">
        <v>0.0257</v>
      </c>
      <c r="D54" s="54" t="n"/>
      <c r="E54" s="54" t="n">
        <v>0</v>
      </c>
      <c r="F54" s="54" t="n">
        <v>0.0857</v>
      </c>
      <c r="G54" s="54" t="n">
        <v>0</v>
      </c>
    </row>
    <row r="55" ht="15" customHeight="1" s="33">
      <c r="A55" s="53" t="n">
        <v>50</v>
      </c>
      <c r="B55" s="53" t="inlineStr">
        <is>
          <t>Combat Commander</t>
        </is>
      </c>
      <c r="C55" s="53" t="n">
        <v>0.0223</v>
      </c>
      <c r="D55" s="53" t="n"/>
      <c r="E55" s="53" t="n">
        <v>0.1277</v>
      </c>
      <c r="F55" s="53" t="n">
        <v>0.0286</v>
      </c>
      <c r="G55" s="53" t="n">
        <v>0</v>
      </c>
    </row>
    <row r="56" ht="15" customHeight="1" s="33">
      <c r="A56" s="54" t="n">
        <v>51</v>
      </c>
      <c r="B56" s="54" t="inlineStr">
        <is>
          <t>Axis Empires: Ultimate Edition</t>
        </is>
      </c>
      <c r="C56" s="54" t="n">
        <v>0.0207</v>
      </c>
      <c r="D56" s="54" t="n"/>
      <c r="E56" s="54" t="n">
        <v>0</v>
      </c>
      <c r="F56" s="54" t="n">
        <v>0</v>
      </c>
      <c r="G56" s="54" t="n">
        <v>0.06900000000000001</v>
      </c>
    </row>
    <row r="57" ht="15" customHeight="1" s="33">
      <c r="A57" s="53" t="n">
        <v>52</v>
      </c>
      <c r="B57" s="53" t="inlineStr">
        <is>
          <t>Combat! Eastern Front</t>
        </is>
      </c>
      <c r="C57" s="53" t="n">
        <v>0.0207</v>
      </c>
      <c r="D57" s="53" t="n"/>
      <c r="E57" s="53" t="n">
        <v>0</v>
      </c>
      <c r="F57" s="53" t="n">
        <v>0</v>
      </c>
      <c r="G57" s="53" t="n">
        <v>0.06900000000000001</v>
      </c>
    </row>
    <row r="58" ht="15" customHeight="1" s="33">
      <c r="A58" s="54" t="n">
        <v>53</v>
      </c>
      <c r="B58" s="54" t="inlineStr">
        <is>
          <t>The Shores of Tripoli</t>
        </is>
      </c>
      <c r="C58" s="54" t="n">
        <v>0.0207</v>
      </c>
      <c r="D58" s="54" t="n"/>
      <c r="E58" s="54" t="n">
        <v>0</v>
      </c>
      <c r="F58" s="54" t="n">
        <v>0</v>
      </c>
      <c r="G58" s="54" t="n">
        <v>0.06900000000000001</v>
      </c>
    </row>
    <row r="59" ht="15" customHeight="1" s="33">
      <c r="A59" s="53" t="n">
        <v>54</v>
      </c>
      <c r="B59" s="53" t="inlineStr">
        <is>
          <t>Undaunted: Callisto</t>
        </is>
      </c>
      <c r="C59" s="53" t="n">
        <v>0.0207</v>
      </c>
      <c r="D59" s="53" t="n"/>
      <c r="E59" s="53" t="n">
        <v>0</v>
      </c>
      <c r="F59" s="53" t="n">
        <v>0</v>
      </c>
      <c r="G59" s="53" t="n">
        <v>0.06900000000000001</v>
      </c>
    </row>
    <row r="60" ht="15" customHeight="1" s="33">
      <c r="A60" s="54" t="n">
        <v>55</v>
      </c>
      <c r="B60" s="54" t="inlineStr">
        <is>
          <t>Julius Caesar</t>
        </is>
      </c>
      <c r="C60" s="54" t="n">
        <v>0.0203</v>
      </c>
      <c r="D60" s="54" t="n"/>
      <c r="E60" s="54" t="n">
        <v>0.1064</v>
      </c>
      <c r="F60" s="54" t="n">
        <v>0.0286</v>
      </c>
      <c r="G60" s="54" t="n">
        <v>0</v>
      </c>
    </row>
    <row r="61" ht="15" customHeight="1" s="33">
      <c r="A61" s="53" t="n">
        <v>56</v>
      </c>
      <c r="B61" s="53" t="inlineStr">
        <is>
          <t>The Rock of Chickamauga</t>
        </is>
      </c>
      <c r="C61" s="53" t="n">
        <v>0.02</v>
      </c>
      <c r="D61" s="53" t="n"/>
      <c r="E61" s="53" t="n">
        <v>0</v>
      </c>
      <c r="F61" s="53" t="n">
        <v>0</v>
      </c>
      <c r="G61" s="53" t="n">
        <v>0</v>
      </c>
    </row>
    <row r="62" ht="15" customHeight="1" s="33">
      <c r="A62" s="54" t="n">
        <v>57</v>
      </c>
      <c r="B62" s="54" t="inlineStr">
        <is>
          <t>Virgin Queen</t>
        </is>
      </c>
      <c r="C62" s="54" t="n">
        <v>0.0198</v>
      </c>
      <c r="D62" s="54" t="n"/>
      <c r="E62" s="54" t="n">
        <v>0</v>
      </c>
      <c r="F62" s="54" t="n">
        <v>0.0286</v>
      </c>
      <c r="G62" s="54" t="n">
        <v>0.1034</v>
      </c>
    </row>
    <row r="63" ht="15" customHeight="1" s="33">
      <c r="A63" s="53" t="n">
        <v>58</v>
      </c>
      <c r="B63" s="53" t="inlineStr">
        <is>
          <t>Congress of Vienna</t>
        </is>
      </c>
      <c r="C63" s="53" t="n">
        <v>0.0191</v>
      </c>
      <c r="D63" s="53" t="n"/>
      <c r="E63" s="53" t="n">
        <v>0.0638</v>
      </c>
      <c r="F63" s="53" t="n">
        <v>0</v>
      </c>
      <c r="G63" s="53" t="n">
        <v>0</v>
      </c>
    </row>
    <row r="64" ht="15" customHeight="1" s="33">
      <c r="A64" s="54" t="n">
        <v>59</v>
      </c>
      <c r="B64" s="54" t="inlineStr">
        <is>
          <t>GBACW Gettysburg</t>
        </is>
      </c>
      <c r="C64" s="54" t="n">
        <v>0.0191</v>
      </c>
      <c r="D64" s="54" t="n"/>
      <c r="E64" s="54" t="n">
        <v>0.0638</v>
      </c>
      <c r="F64" s="54" t="n">
        <v>0</v>
      </c>
      <c r="G64" s="54" t="n">
        <v>0</v>
      </c>
    </row>
    <row r="65" ht="15" customHeight="1" s="33">
      <c r="A65" s="53" t="n">
        <v>60</v>
      </c>
      <c r="B65" s="53" t="inlineStr">
        <is>
          <t>Serie GCACW</t>
        </is>
      </c>
      <c r="C65" s="53" t="n">
        <v>0.0191</v>
      </c>
      <c r="D65" s="53" t="n"/>
      <c r="E65" s="53" t="n">
        <v>0.0638</v>
      </c>
      <c r="F65" s="53" t="n">
        <v>0</v>
      </c>
      <c r="G65" s="53" t="n">
        <v>0</v>
      </c>
    </row>
    <row r="66" ht="15" customHeight="1" s="33">
      <c r="A66" s="54" t="n">
        <v>61</v>
      </c>
      <c r="B66" s="54" t="inlineStr">
        <is>
          <t>The Battle of Normandy</t>
        </is>
      </c>
      <c r="C66" s="54" t="n">
        <v>0.0191</v>
      </c>
      <c r="D66" s="54" t="n"/>
      <c r="E66" s="54" t="n">
        <v>0.0638</v>
      </c>
      <c r="F66" s="54" t="n">
        <v>0</v>
      </c>
      <c r="G66" s="54" t="n">
        <v>0</v>
      </c>
    </row>
    <row r="67" ht="15" customHeight="1" s="33">
      <c r="A67" s="53" t="n">
        <v>62</v>
      </c>
      <c r="B67" s="53" t="inlineStr">
        <is>
          <t>Undaunted Battle of britain</t>
        </is>
      </c>
      <c r="C67" s="53" t="n">
        <v>0.0191</v>
      </c>
      <c r="D67" s="53" t="n"/>
      <c r="E67" s="53" t="n">
        <v>0.0638</v>
      </c>
      <c r="F67" s="53" t="n">
        <v>0</v>
      </c>
      <c r="G67" s="53" t="n">
        <v>0</v>
      </c>
    </row>
    <row r="68" ht="15" customHeight="1" s="33">
      <c r="A68" s="54" t="n">
        <v>63</v>
      </c>
      <c r="B68" s="54" t="inlineStr">
        <is>
          <t>Wing Leader</t>
        </is>
      </c>
      <c r="C68" s="54" t="n">
        <v>0.0191</v>
      </c>
      <c r="D68" s="54" t="n"/>
      <c r="E68" s="54" t="n">
        <v>0.0638</v>
      </c>
      <c r="F68" s="54" t="n">
        <v>0</v>
      </c>
      <c r="G68" s="54" t="n">
        <v>0</v>
      </c>
    </row>
    <row r="69" ht="15" customHeight="1" s="33">
      <c r="A69" s="53" t="n">
        <v>64</v>
      </c>
      <c r="B69" s="53" t="inlineStr">
        <is>
          <t>Warfighter WWII</t>
        </is>
      </c>
      <c r="C69" s="53" t="n">
        <v>0.0182</v>
      </c>
      <c r="D69" s="53" t="n">
        <v>0.026</v>
      </c>
      <c r="E69" s="53" t="n">
        <v>0</v>
      </c>
      <c r="F69" s="53" t="n">
        <v>0</v>
      </c>
      <c r="G69" s="53" t="n">
        <v>0</v>
      </c>
    </row>
    <row r="70" ht="15" customHeight="1" s="33">
      <c r="A70" s="54" t="n">
        <v>65</v>
      </c>
      <c r="B70" s="54" t="inlineStr">
        <is>
          <t>300: Tierra y Agua</t>
        </is>
      </c>
      <c r="C70" s="54" t="n">
        <v>0.0182</v>
      </c>
      <c r="D70" s="54" t="n">
        <v>0.026</v>
      </c>
      <c r="E70" s="54" t="n">
        <v>0</v>
      </c>
      <c r="F70" s="54" t="n">
        <v>0</v>
      </c>
      <c r="G70" s="54" t="n">
        <v>0</v>
      </c>
    </row>
    <row r="71" ht="15" customHeight="1" s="33">
      <c r="A71" s="53" t="n">
        <v>66</v>
      </c>
      <c r="B71" s="53" t="inlineStr">
        <is>
          <t>Next War: Iran</t>
        </is>
      </c>
      <c r="C71" s="53" t="n">
        <v>0.0182</v>
      </c>
      <c r="D71" s="53" t="n">
        <v>0.026</v>
      </c>
      <c r="E71" s="53" t="n">
        <v>0</v>
      </c>
      <c r="F71" s="53" t="n">
        <v>0</v>
      </c>
      <c r="G71" s="53" t="n">
        <v>0</v>
      </c>
    </row>
    <row r="72" ht="15" customHeight="1" s="33">
      <c r="A72" s="54" t="n">
        <v>67</v>
      </c>
      <c r="B72" s="54" t="inlineStr">
        <is>
          <t>Next War: Poland</t>
        </is>
      </c>
      <c r="C72" s="54" t="n">
        <v>0.0182</v>
      </c>
      <c r="D72" s="54" t="n">
        <v>0.026</v>
      </c>
      <c r="E72" s="54" t="n">
        <v>0</v>
      </c>
      <c r="F72" s="54" t="n">
        <v>0</v>
      </c>
      <c r="G72" s="54" t="n">
        <v>0</v>
      </c>
    </row>
    <row r="73" ht="15" customHeight="1" s="33">
      <c r="A73" s="53" t="n">
        <v>68</v>
      </c>
      <c r="B73" s="53" t="inlineStr">
        <is>
          <t>Norman Conquest: Men of Iron</t>
        </is>
      </c>
      <c r="C73" s="53" t="n">
        <v>0.0182</v>
      </c>
      <c r="D73" s="53" t="n">
        <v>0.026</v>
      </c>
      <c r="E73" s="53" t="n">
        <v>0</v>
      </c>
      <c r="F73" s="53" t="n">
        <v>0</v>
      </c>
      <c r="G73" s="53" t="n">
        <v>0</v>
      </c>
    </row>
    <row r="74" ht="15" customHeight="1" s="33">
      <c r="A74" s="54" t="n">
        <v>69</v>
      </c>
      <c r="B74" s="54" t="inlineStr">
        <is>
          <t>SCS Fallschimjaeger</t>
        </is>
      </c>
      <c r="C74" s="54" t="n">
        <v>0.0182</v>
      </c>
      <c r="D74" s="54" t="n">
        <v>0.026</v>
      </c>
      <c r="E74" s="54" t="n">
        <v>0</v>
      </c>
      <c r="F74" s="54" t="n">
        <v>0</v>
      </c>
      <c r="G74" s="54" t="n">
        <v>0</v>
      </c>
    </row>
    <row r="75" ht="15" customHeight="1" s="33">
      <c r="A75" s="53" t="n">
        <v>70</v>
      </c>
      <c r="B75" s="53" t="inlineStr">
        <is>
          <t>US Civil War</t>
        </is>
      </c>
      <c r="C75" s="53" t="n">
        <v>0.0182</v>
      </c>
      <c r="D75" s="53" t="n">
        <v>0.026</v>
      </c>
      <c r="E75" s="53" t="n">
        <v>0</v>
      </c>
      <c r="F75" s="53" t="n">
        <v>0</v>
      </c>
      <c r="G75" s="53" t="n">
        <v>0</v>
      </c>
    </row>
    <row r="76" ht="15" customHeight="1" s="33">
      <c r="A76" s="54" t="n">
        <v>71</v>
      </c>
      <c r="B76" s="54" t="inlineStr">
        <is>
          <t>ASL Starter kit 1</t>
        </is>
      </c>
      <c r="C76" s="54" t="n">
        <v>0.0171</v>
      </c>
      <c r="D76" s="54" t="n"/>
      <c r="E76" s="54" t="n">
        <v>0</v>
      </c>
      <c r="F76" s="54" t="n">
        <v>0.0571</v>
      </c>
      <c r="G76" s="54" t="n">
        <v>0</v>
      </c>
    </row>
    <row r="77" ht="15" customHeight="1" s="33">
      <c r="A77" s="53" t="n">
        <v>72</v>
      </c>
      <c r="B77" s="53" t="inlineStr">
        <is>
          <t>Carrier Battle: Philippine Sea</t>
        </is>
      </c>
      <c r="C77" s="53" t="n">
        <v>0.0171</v>
      </c>
      <c r="D77" s="53" t="n"/>
      <c r="E77" s="53" t="n">
        <v>0</v>
      </c>
      <c r="F77" s="53" t="n">
        <v>0.0571</v>
      </c>
      <c r="G77" s="53" t="n">
        <v>0</v>
      </c>
    </row>
    <row r="78" ht="15" customHeight="1" s="33">
      <c r="A78" s="54" t="n">
        <v>73</v>
      </c>
      <c r="B78" s="54" t="inlineStr">
        <is>
          <t>Crisis 1914</t>
        </is>
      </c>
      <c r="C78" s="54" t="n">
        <v>0.0171</v>
      </c>
      <c r="D78" s="54" t="n"/>
      <c r="E78" s="54" t="n">
        <v>0</v>
      </c>
      <c r="F78" s="54" t="n">
        <v>0.0571</v>
      </c>
      <c r="G78" s="54" t="n">
        <v>0</v>
      </c>
    </row>
    <row r="79" ht="15" customHeight="1" s="33">
      <c r="A79" s="53" t="n">
        <v>74</v>
      </c>
      <c r="B79" s="53" t="inlineStr">
        <is>
          <t>Little Round Top</t>
        </is>
      </c>
      <c r="C79" s="53" t="n">
        <v>0.0171</v>
      </c>
      <c r="D79" s="53" t="n"/>
      <c r="E79" s="53" t="n">
        <v>0</v>
      </c>
      <c r="F79" s="53" t="n">
        <v>0.0571</v>
      </c>
      <c r="G79" s="53" t="n">
        <v>0</v>
      </c>
    </row>
    <row r="80" ht="15" customHeight="1" s="33">
      <c r="A80" s="54" t="n">
        <v>75</v>
      </c>
      <c r="B80" s="54" t="inlineStr">
        <is>
          <t>Red Dust Rebellion</t>
        </is>
      </c>
      <c r="C80" s="54" t="n">
        <v>0.0171</v>
      </c>
      <c r="D80" s="54" t="n"/>
      <c r="E80" s="54" t="n">
        <v>0</v>
      </c>
      <c r="F80" s="54" t="n">
        <v>0.0571</v>
      </c>
      <c r="G80" s="54" t="n">
        <v>0</v>
      </c>
    </row>
    <row r="81" ht="15" customHeight="1" s="33">
      <c r="A81" s="53" t="n">
        <v>76</v>
      </c>
      <c r="B81" s="53" t="inlineStr">
        <is>
          <t>Rostov (Serie SCS)</t>
        </is>
      </c>
      <c r="C81" s="53" t="n">
        <v>0.0171</v>
      </c>
      <c r="D81" s="53" t="n"/>
      <c r="E81" s="53" t="n">
        <v>0</v>
      </c>
      <c r="F81" s="53" t="n">
        <v>0.0571</v>
      </c>
      <c r="G81" s="53" t="n">
        <v>0</v>
      </c>
    </row>
    <row r="82" ht="15" customHeight="1" s="33">
      <c r="A82" s="54" t="n">
        <v>77</v>
      </c>
      <c r="B82" s="54" t="inlineStr">
        <is>
          <t>Valley of Tears</t>
        </is>
      </c>
      <c r="C82" s="54" t="n">
        <v>0.0171</v>
      </c>
      <c r="D82" s="54" t="n"/>
      <c r="E82" s="54" t="n">
        <v>0</v>
      </c>
      <c r="F82" s="54" t="n">
        <v>0.0571</v>
      </c>
      <c r="G82" s="54" t="n">
        <v>0</v>
      </c>
    </row>
    <row r="83" ht="15" customHeight="1" s="33">
      <c r="A83" s="53" t="n">
        <v>78</v>
      </c>
      <c r="B83" s="53" t="inlineStr">
        <is>
          <t>Kanal</t>
        </is>
      </c>
      <c r="C83" s="53" t="n">
        <v>0.0164</v>
      </c>
      <c r="D83" s="53" t="n"/>
      <c r="E83" s="53" t="n">
        <v>0</v>
      </c>
      <c r="F83" s="53" t="n">
        <v>0.0286</v>
      </c>
      <c r="G83" s="53" t="n">
        <v>0.06900000000000001</v>
      </c>
    </row>
    <row r="84" ht="15" customHeight="1" s="33">
      <c r="A84" s="54" t="n">
        <v>79</v>
      </c>
      <c r="B84" s="54" t="inlineStr">
        <is>
          <t>Wir sind das Volk!</t>
        </is>
      </c>
      <c r="C84" s="54" t="n">
        <v>0.0144</v>
      </c>
      <c r="D84" s="54" t="n"/>
      <c r="E84" s="54" t="n">
        <v>0.0426</v>
      </c>
      <c r="F84" s="54" t="n">
        <v>0</v>
      </c>
      <c r="G84" s="54" t="n">
        <v>0.0345</v>
      </c>
    </row>
    <row r="85" ht="15" customHeight="1" s="33">
      <c r="A85" s="53" t="n">
        <v>80</v>
      </c>
      <c r="B85" s="53" t="inlineStr">
        <is>
          <t>2 Minutos para la Medianoche</t>
        </is>
      </c>
      <c r="C85" s="53" t="n">
        <v>0.0137</v>
      </c>
      <c r="D85" s="53" t="n"/>
      <c r="E85" s="53" t="n">
        <v>0</v>
      </c>
      <c r="F85" s="53" t="n">
        <v>0.0571</v>
      </c>
      <c r="G85" s="53" t="n">
        <v>0.0345</v>
      </c>
    </row>
    <row r="86" ht="15" customHeight="1" s="33">
      <c r="A86" s="54" t="n">
        <v>81</v>
      </c>
      <c r="B86" s="54" t="inlineStr">
        <is>
          <t>Asalto a Madrid</t>
        </is>
      </c>
      <c r="C86" s="54" t="n">
        <v>0.0128</v>
      </c>
      <c r="D86" s="54" t="n"/>
      <c r="E86" s="54" t="n">
        <v>0.0426</v>
      </c>
      <c r="F86" s="54" t="n">
        <v>0</v>
      </c>
      <c r="G86" s="54" t="n">
        <v>0</v>
      </c>
    </row>
    <row r="87" ht="15" customHeight="1" s="33">
      <c r="A87" s="53" t="n">
        <v>82</v>
      </c>
      <c r="B87" s="53" t="inlineStr">
        <is>
          <t>Battlefields of the Napoleonic Wars</t>
        </is>
      </c>
      <c r="C87" s="53" t="n">
        <v>0.0128</v>
      </c>
      <c r="D87" s="53" t="n"/>
      <c r="E87" s="53" t="n">
        <v>0.0426</v>
      </c>
      <c r="F87" s="53" t="n">
        <v>0</v>
      </c>
      <c r="G87" s="53" t="n">
        <v>0</v>
      </c>
    </row>
    <row r="88" ht="15" customHeight="1" s="33">
      <c r="A88" s="54" t="n">
        <v>83</v>
      </c>
      <c r="B88" s="54" t="inlineStr">
        <is>
          <t>Combat 1 compáss games</t>
        </is>
      </c>
      <c r="C88" s="54" t="n">
        <v>0.0128</v>
      </c>
      <c r="D88" s="54" t="n"/>
      <c r="E88" s="54" t="n">
        <v>0.0426</v>
      </c>
      <c r="F88" s="54" t="n">
        <v>0</v>
      </c>
      <c r="G88" s="54" t="n">
        <v>0</v>
      </c>
    </row>
    <row r="89" ht="15" customHeight="1" s="33">
      <c r="A89" s="53" t="n">
        <v>84</v>
      </c>
      <c r="B89" s="53" t="inlineStr">
        <is>
          <t>Command &amp; colors Napoleón</t>
        </is>
      </c>
      <c r="C89" s="53" t="n">
        <v>0.0128</v>
      </c>
      <c r="D89" s="53" t="n"/>
      <c r="E89" s="53" t="n">
        <v>0.0426</v>
      </c>
      <c r="F89" s="53" t="n">
        <v>0</v>
      </c>
      <c r="G89" s="53" t="n">
        <v>0</v>
      </c>
    </row>
    <row r="90" ht="15" customHeight="1" s="33">
      <c r="A90" s="54" t="n">
        <v>85</v>
      </c>
      <c r="B90" s="54" t="inlineStr">
        <is>
          <t>Mud &amp; Blood</t>
        </is>
      </c>
      <c r="C90" s="54" t="n">
        <v>0.0128</v>
      </c>
      <c r="D90" s="54" t="n"/>
      <c r="E90" s="54" t="n">
        <v>0.0426</v>
      </c>
      <c r="F90" s="54" t="n">
        <v>0</v>
      </c>
      <c r="G90" s="54" t="n">
        <v>0</v>
      </c>
    </row>
    <row r="91" ht="15" customHeight="1" s="33">
      <c r="A91" s="53" t="n">
        <v>86</v>
      </c>
      <c r="B91" s="53" t="inlineStr">
        <is>
          <t>OCS Korea</t>
        </is>
      </c>
      <c r="C91" s="53" t="n">
        <v>0.0128</v>
      </c>
      <c r="D91" s="53" t="n"/>
      <c r="E91" s="53" t="n">
        <v>0.0426</v>
      </c>
      <c r="F91" s="53" t="n">
        <v>0</v>
      </c>
      <c r="G91" s="53" t="n">
        <v>0</v>
      </c>
    </row>
    <row r="92" ht="15" customHeight="1" s="33">
      <c r="A92" s="54" t="n">
        <v>87</v>
      </c>
      <c r="B92" s="54" t="inlineStr">
        <is>
          <t>Serie BCS</t>
        </is>
      </c>
      <c r="C92" s="54" t="n">
        <v>0.0128</v>
      </c>
      <c r="D92" s="54" t="n"/>
      <c r="E92" s="54" t="n">
        <v>0.0426</v>
      </c>
      <c r="F92" s="54" t="n">
        <v>0</v>
      </c>
      <c r="G92" s="54" t="n">
        <v>0</v>
      </c>
    </row>
    <row r="93" ht="15" customHeight="1" s="33">
      <c r="A93" s="53" t="n">
        <v>88</v>
      </c>
      <c r="B93" s="53" t="inlineStr">
        <is>
          <t>Undaunted 2200 Callisto</t>
        </is>
      </c>
      <c r="C93" s="53" t="n">
        <v>0.0128</v>
      </c>
      <c r="D93" s="53" t="n"/>
      <c r="E93" s="53" t="n">
        <v>0.0426</v>
      </c>
      <c r="F93" s="53" t="n">
        <v>0</v>
      </c>
      <c r="G93" s="53" t="n">
        <v>0</v>
      </c>
    </row>
    <row r="94" ht="15" customHeight="1" s="33">
      <c r="A94" s="54" t="n">
        <v>89</v>
      </c>
      <c r="B94" s="54" t="inlineStr">
        <is>
          <t>El Otro Lado de la Colina</t>
        </is>
      </c>
      <c r="C94" s="54" t="n">
        <v>0.0103</v>
      </c>
      <c r="D94" s="54" t="n"/>
      <c r="E94" s="54" t="n">
        <v>0</v>
      </c>
      <c r="F94" s="54" t="n">
        <v>0</v>
      </c>
      <c r="G94" s="54" t="n">
        <v>0.0345</v>
      </c>
    </row>
    <row r="95" ht="15" customHeight="1" s="33">
      <c r="A95" s="53" t="n">
        <v>90</v>
      </c>
      <c r="B95" s="53" t="inlineStr">
        <is>
          <t>Gunslinger</t>
        </is>
      </c>
      <c r="C95" s="53" t="n">
        <v>0.0103</v>
      </c>
      <c r="D95" s="53" t="n"/>
      <c r="E95" s="53" t="n">
        <v>0</v>
      </c>
      <c r="F95" s="53" t="n">
        <v>0</v>
      </c>
      <c r="G95" s="53" t="n">
        <v>0.0345</v>
      </c>
    </row>
    <row r="96" ht="15" customHeight="1" s="33">
      <c r="A96" s="54" t="n">
        <v>91</v>
      </c>
      <c r="B96" s="54" t="inlineStr">
        <is>
          <t>Band of Brothers Screaming Eagles</t>
        </is>
      </c>
      <c r="C96" s="54" t="n">
        <v>0.0086</v>
      </c>
      <c r="D96" s="54" t="n"/>
      <c r="E96" s="54" t="n">
        <v>0</v>
      </c>
      <c r="F96" s="54" t="n">
        <v>0.0286</v>
      </c>
      <c r="G96" s="54" t="n">
        <v>0</v>
      </c>
    </row>
    <row r="97" ht="15" customHeight="1" s="33">
      <c r="A97" s="53" t="n">
        <v>92</v>
      </c>
      <c r="B97" s="53" t="inlineStr">
        <is>
          <t>Battle Commander: Volume I</t>
        </is>
      </c>
      <c r="C97" s="53" t="n">
        <v>0.0086</v>
      </c>
      <c r="D97" s="53" t="n"/>
      <c r="E97" s="53" t="n">
        <v>0</v>
      </c>
      <c r="F97" s="53" t="n">
        <v>0.0286</v>
      </c>
      <c r="G97" s="53" t="n">
        <v>0</v>
      </c>
    </row>
    <row r="98" ht="15" customHeight="1" s="33">
      <c r="A98" s="54" t="n">
        <v>93</v>
      </c>
      <c r="B98" s="54" t="inlineStr">
        <is>
          <t>By Iron and Blood</t>
        </is>
      </c>
      <c r="C98" s="54" t="n">
        <v>0.0086</v>
      </c>
      <c r="D98" s="54" t="n"/>
      <c r="E98" s="54" t="n">
        <v>0</v>
      </c>
      <c r="F98" s="54" t="n">
        <v>0.0286</v>
      </c>
      <c r="G98" s="54" t="n">
        <v>0</v>
      </c>
    </row>
    <row r="99" ht="15" customHeight="1" s="33">
      <c r="A99" s="53" t="n">
        <v>94</v>
      </c>
      <c r="B99" s="53" t="inlineStr">
        <is>
          <t>Combat! Volumen 1</t>
        </is>
      </c>
      <c r="C99" s="53" t="n">
        <v>0.0086</v>
      </c>
      <c r="D99" s="53" t="n"/>
      <c r="E99" s="53" t="n">
        <v>0</v>
      </c>
      <c r="F99" s="53" t="n">
        <v>0.0286</v>
      </c>
      <c r="G99" s="53" t="n">
        <v>0</v>
      </c>
    </row>
    <row r="100" ht="15" customHeight="1" s="33">
      <c r="A100" s="54" t="n">
        <v>95</v>
      </c>
      <c r="B100" s="54" t="inlineStr">
        <is>
          <t>Héroes Of Normandie</t>
        </is>
      </c>
      <c r="C100" s="54" t="n">
        <v>0.0086</v>
      </c>
      <c r="D100" s="54" t="n"/>
      <c r="E100" s="54" t="n">
        <v>0</v>
      </c>
      <c r="F100" s="54" t="n">
        <v>0.0286</v>
      </c>
      <c r="G100" s="54" t="n">
        <v>0</v>
      </c>
    </row>
    <row r="101" ht="15" customHeight="1" s="33">
      <c r="A101" s="53" t="n">
        <v>96</v>
      </c>
      <c r="B101" s="53" t="inlineStr">
        <is>
          <t>Maneuver Warfare</t>
        </is>
      </c>
      <c r="C101" s="53" t="n">
        <v>0.0086</v>
      </c>
      <c r="D101" s="53" t="n"/>
      <c r="E101" s="53" t="n">
        <v>0</v>
      </c>
      <c r="F101" s="53" t="n">
        <v>0.0286</v>
      </c>
      <c r="G101" s="53" t="n">
        <v>0</v>
      </c>
    </row>
    <row r="102" ht="15" customHeight="1" s="33">
      <c r="A102" s="54" t="n">
        <v>97</v>
      </c>
      <c r="B102" s="54" t="inlineStr">
        <is>
          <t>Operación Bollebank</t>
        </is>
      </c>
      <c r="C102" s="54" t="n">
        <v>0.0086</v>
      </c>
      <c r="D102" s="54" t="n"/>
      <c r="E102" s="54" t="n">
        <v>0</v>
      </c>
      <c r="F102" s="54" t="n">
        <v>0.0286</v>
      </c>
      <c r="G102" s="54" t="n">
        <v>0</v>
      </c>
    </row>
    <row r="103" ht="15" customHeight="1" s="33">
      <c r="A103" s="53" t="n">
        <v>98</v>
      </c>
      <c r="B103" s="53" t="inlineStr">
        <is>
          <t>Poland Defiant: The German Invasion, September 1939</t>
        </is>
      </c>
      <c r="C103" s="53" t="n">
        <v>0.0086</v>
      </c>
      <c r="D103" s="53" t="n"/>
      <c r="E103" s="53" t="n">
        <v>0</v>
      </c>
      <c r="F103" s="53" t="n">
        <v>0.0286</v>
      </c>
      <c r="G103" s="53" t="n">
        <v>0</v>
      </c>
    </row>
    <row r="104" ht="15" customHeight="1" s="33">
      <c r="A104" s="54" t="n">
        <v>99</v>
      </c>
      <c r="B104" s="54" t="inlineStr">
        <is>
          <t>RAF</t>
        </is>
      </c>
      <c r="C104" s="54" t="n">
        <v>0.0086</v>
      </c>
      <c r="D104" s="54" t="n"/>
      <c r="E104" s="54" t="n">
        <v>0</v>
      </c>
      <c r="F104" s="54" t="n">
        <v>0.0286</v>
      </c>
      <c r="G104" s="54" t="n">
        <v>0</v>
      </c>
    </row>
    <row r="105" ht="15" customHeight="1" s="33">
      <c r="A105" s="53" t="n">
        <v>100</v>
      </c>
      <c r="B105" s="53" t="inlineStr">
        <is>
          <t>BCS Brazen Chariots</t>
        </is>
      </c>
      <c r="C105" s="53" t="n">
        <v>0.0064</v>
      </c>
      <c r="D105" s="53" t="n"/>
      <c r="E105" s="53" t="n">
        <v>0.0213</v>
      </c>
      <c r="F105" s="53" t="n">
        <v>0</v>
      </c>
      <c r="G105" s="53" t="n">
        <v>0</v>
      </c>
    </row>
    <row r="106" ht="15" customHeight="1" s="33">
      <c r="A106" s="54" t="n">
        <v>101</v>
      </c>
      <c r="B106" s="54" t="inlineStr">
        <is>
          <t>Hannibal</t>
        </is>
      </c>
      <c r="C106" s="54" t="n">
        <v>0.0064</v>
      </c>
      <c r="D106" s="54" t="n"/>
      <c r="E106" s="54" t="n">
        <v>0.0213</v>
      </c>
      <c r="F106" s="54" t="n">
        <v>0</v>
      </c>
      <c r="G106" s="54" t="n">
        <v>0</v>
      </c>
    </row>
    <row r="107" ht="15" customHeight="1" s="33">
      <c r="A107" s="53" t="n">
        <v>102</v>
      </c>
      <c r="B107" s="53" t="inlineStr">
        <is>
          <t>Normandy 44</t>
        </is>
      </c>
      <c r="C107" s="53" t="n">
        <v>0.0064</v>
      </c>
      <c r="D107" s="53" t="n"/>
      <c r="E107" s="53" t="n">
        <v>0.0213</v>
      </c>
      <c r="F107" s="53" t="n">
        <v>0</v>
      </c>
      <c r="G107" s="53" t="n">
        <v>0</v>
      </c>
    </row>
    <row r="108" ht="15" customHeight="1" s="33">
      <c r="A108" s="54" t="n">
        <v>103</v>
      </c>
      <c r="B108" s="54" t="inlineStr">
        <is>
          <t>Panzer North Africa</t>
        </is>
      </c>
      <c r="C108" s="54" t="n">
        <v>0.0064</v>
      </c>
      <c r="D108" s="54" t="n"/>
      <c r="E108" s="54" t="n">
        <v>0.0213</v>
      </c>
      <c r="F108" s="54" t="n">
        <v>0</v>
      </c>
      <c r="G108" s="54" t="n">
        <v>0</v>
      </c>
    </row>
  </sheetData>
  <mergeCells count="2">
    <mergeCell ref="A2:G2"/>
    <mergeCell ref="A1:G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4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45" customWidth="1" style="32" min="2" max="2"/>
    <col width="8" customWidth="1" style="32" min="3" max="7"/>
  </cols>
  <sheetData>
    <row r="1" ht="17.25" customHeight="1" s="33">
      <c r="A1" s="46" t="inlineStr">
        <is>
          <t>RANKING VIS BÉLICA — JUNIO 2026 (wargames)</t>
        </is>
      </c>
    </row>
    <row r="2" ht="15" customHeight="1" s="33">
      <c r="A2" s="32" t="inlineStr">
        <is>
          <t>Criterio ESTRICTO: hex&amp;counter, CDG y bloques (rancios de verdad). Ver lista acordada.</t>
        </is>
      </c>
    </row>
    <row r="3" ht="15" customHeight="1" s="33">
      <c r="A3" s="48" t="inlineStr">
        <is>
          <t>Wargames: 39    Votos de guerra: 47 de 187</t>
        </is>
      </c>
    </row>
    <row r="5" ht="15" customHeight="1" s="33">
      <c r="A5" s="56" t="inlineStr">
        <is>
          <t>Pos</t>
        </is>
      </c>
      <c r="B5" s="56" t="inlineStr">
        <is>
          <t>Juego</t>
        </is>
      </c>
      <c r="C5" s="56" t="inlineStr">
        <is>
          <t>Pts</t>
        </is>
      </c>
      <c r="D5" s="56" t="inlineStr">
        <is>
          <t>Nº1</t>
        </is>
      </c>
      <c r="E5" s="56" t="inlineStr">
        <is>
          <t>Nº2</t>
        </is>
      </c>
      <c r="F5" s="56" t="inlineStr">
        <is>
          <t>Nº3</t>
        </is>
      </c>
      <c r="G5" s="56" t="inlineStr">
        <is>
          <t>Votos</t>
        </is>
      </c>
    </row>
    <row r="6" ht="15" customHeight="1" s="33">
      <c r="A6" s="57" t="n">
        <v>1</v>
      </c>
      <c r="B6" s="57" t="inlineStr">
        <is>
          <t>D-Day at Omaha Beach</t>
        </is>
      </c>
      <c r="C6" s="57" t="n">
        <v>23</v>
      </c>
      <c r="D6" s="57" t="n">
        <v>4</v>
      </c>
      <c r="E6" s="57" t="n">
        <v>4</v>
      </c>
      <c r="F6" s="57" t="n">
        <v>3</v>
      </c>
      <c r="G6" s="57" t="n">
        <v>11</v>
      </c>
    </row>
    <row r="7" ht="15" customHeight="1" s="33">
      <c r="A7" s="58" t="n">
        <v>2</v>
      </c>
      <c r="B7" s="58" t="inlineStr">
        <is>
          <t>Operation Overlord</t>
        </is>
      </c>
      <c r="C7" s="58" t="n">
        <v>9</v>
      </c>
      <c r="D7" s="58" t="n">
        <v>2</v>
      </c>
      <c r="E7" s="58" t="n">
        <v>1</v>
      </c>
      <c r="F7" s="58" t="n">
        <v>1</v>
      </c>
      <c r="G7" s="58" t="n">
        <v>4</v>
      </c>
    </row>
    <row r="8" ht="15" customHeight="1" s="33">
      <c r="A8" s="59" t="n">
        <v>3</v>
      </c>
      <c r="B8" s="59" t="inlineStr">
        <is>
          <t>Asturias 1936-1937</t>
        </is>
      </c>
      <c r="C8" s="59" t="n">
        <v>8</v>
      </c>
      <c r="D8" s="59" t="n">
        <v>2</v>
      </c>
      <c r="E8" s="59" t="n">
        <v>1</v>
      </c>
      <c r="F8" s="59" t="n">
        <v>0</v>
      </c>
      <c r="G8" s="59" t="n">
        <v>3</v>
      </c>
    </row>
    <row r="9" ht="15" customHeight="1" s="33">
      <c r="A9" s="60" t="n">
        <v>4</v>
      </c>
      <c r="B9" s="60" t="inlineStr">
        <is>
          <t>Struggle of Empires</t>
        </is>
      </c>
      <c r="C9" s="60" t="n">
        <v>8</v>
      </c>
      <c r="D9" s="60" t="n">
        <v>1</v>
      </c>
      <c r="E9" s="60" t="n">
        <v>2</v>
      </c>
      <c r="F9" s="60" t="n">
        <v>1</v>
      </c>
      <c r="G9" s="60" t="n">
        <v>4</v>
      </c>
    </row>
    <row r="10" ht="15" customHeight="1" s="33">
      <c r="A10" s="61" t="n">
        <v>5</v>
      </c>
      <c r="B10" s="61" t="inlineStr">
        <is>
          <t>The russian campaign</t>
        </is>
      </c>
      <c r="C10" s="61" t="n">
        <v>7</v>
      </c>
      <c r="D10" s="61" t="n">
        <v>1</v>
      </c>
      <c r="E10" s="61" t="n">
        <v>1</v>
      </c>
      <c r="F10" s="61" t="n">
        <v>2</v>
      </c>
      <c r="G10" s="61" t="n">
        <v>4</v>
      </c>
    </row>
    <row r="11" ht="15" customHeight="1" s="33">
      <c r="A11" s="60" t="n">
        <v>6</v>
      </c>
      <c r="B11" s="60" t="inlineStr">
        <is>
          <t>Fields of Fire</t>
        </is>
      </c>
      <c r="C11" s="60" t="n">
        <v>6</v>
      </c>
      <c r="D11" s="60" t="n">
        <v>2</v>
      </c>
      <c r="E11" s="60" t="n">
        <v>0</v>
      </c>
      <c r="F11" s="60" t="n">
        <v>0</v>
      </c>
      <c r="G11" s="60" t="n">
        <v>2</v>
      </c>
    </row>
    <row r="12" ht="15" customHeight="1" s="33">
      <c r="A12" s="61" t="n">
        <v>7</v>
      </c>
      <c r="B12" s="61" t="inlineStr">
        <is>
          <t>Combat Commander</t>
        </is>
      </c>
      <c r="C12" s="61" t="n">
        <v>6</v>
      </c>
      <c r="D12" s="61" t="n">
        <v>1</v>
      </c>
      <c r="E12" s="61" t="n">
        <v>0</v>
      </c>
      <c r="F12" s="61" t="n">
        <v>3</v>
      </c>
      <c r="G12" s="61" t="n">
        <v>4</v>
      </c>
    </row>
    <row r="13" ht="15" customHeight="1" s="33">
      <c r="A13" s="60" t="n">
        <v>8</v>
      </c>
      <c r="B13" s="60" t="inlineStr">
        <is>
          <t>Twilight Struggle</t>
        </is>
      </c>
      <c r="C13" s="60" t="n">
        <v>6</v>
      </c>
      <c r="D13" s="60" t="n">
        <v>1</v>
      </c>
      <c r="E13" s="60" t="n">
        <v>1</v>
      </c>
      <c r="F13" s="60" t="n">
        <v>1</v>
      </c>
      <c r="G13" s="60" t="n">
        <v>3</v>
      </c>
    </row>
    <row r="14" ht="15" customHeight="1" s="33">
      <c r="A14" s="61" t="n">
        <v>9</v>
      </c>
      <c r="B14" s="61" t="inlineStr">
        <is>
          <t>Julius Caesar</t>
        </is>
      </c>
      <c r="C14" s="61" t="n">
        <v>5</v>
      </c>
      <c r="D14" s="61" t="n">
        <v>1</v>
      </c>
      <c r="E14" s="61" t="n">
        <v>1</v>
      </c>
      <c r="F14" s="61" t="n">
        <v>0</v>
      </c>
      <c r="G14" s="61" t="n">
        <v>2</v>
      </c>
    </row>
    <row r="15" ht="15" customHeight="1" s="33">
      <c r="A15" s="60" t="n">
        <v>10</v>
      </c>
      <c r="B15" s="60" t="inlineStr">
        <is>
          <t>Undaunted Stalingrad</t>
        </is>
      </c>
      <c r="C15" s="60" t="n">
        <v>5</v>
      </c>
      <c r="D15" s="60" t="n">
        <v>1</v>
      </c>
      <c r="E15" s="60" t="n">
        <v>1</v>
      </c>
      <c r="F15" s="60" t="n">
        <v>0</v>
      </c>
      <c r="G15" s="60" t="n">
        <v>2</v>
      </c>
    </row>
    <row r="16" ht="15" customHeight="1" s="33">
      <c r="A16" s="61" t="n">
        <v>11</v>
      </c>
      <c r="B16" s="61" t="inlineStr">
        <is>
          <t>Urban Operations</t>
        </is>
      </c>
      <c r="C16" s="61" t="n">
        <v>5</v>
      </c>
      <c r="D16" s="61" t="n">
        <v>1</v>
      </c>
      <c r="E16" s="61" t="n">
        <v>1</v>
      </c>
      <c r="F16" s="61" t="n">
        <v>0</v>
      </c>
      <c r="G16" s="61" t="n">
        <v>2</v>
      </c>
    </row>
    <row r="17" ht="15" customHeight="1" s="33">
      <c r="A17" s="60" t="n">
        <v>12</v>
      </c>
      <c r="B17" s="60" t="inlineStr">
        <is>
          <t>Congress of Vienna</t>
        </is>
      </c>
      <c r="C17" s="60" t="n">
        <v>3</v>
      </c>
      <c r="D17" s="60" t="n">
        <v>1</v>
      </c>
      <c r="E17" s="60" t="n">
        <v>0</v>
      </c>
      <c r="F17" s="60" t="n">
        <v>0</v>
      </c>
      <c r="G17" s="60" t="n">
        <v>1</v>
      </c>
    </row>
    <row r="18" ht="15" customHeight="1" s="33">
      <c r="A18" s="61" t="n">
        <v>13</v>
      </c>
      <c r="B18" s="61" t="inlineStr">
        <is>
          <t>GBACW Gettysburg</t>
        </is>
      </c>
      <c r="C18" s="61" t="n">
        <v>3</v>
      </c>
      <c r="D18" s="61" t="n">
        <v>1</v>
      </c>
      <c r="E18" s="61" t="n">
        <v>0</v>
      </c>
      <c r="F18" s="61" t="n">
        <v>0</v>
      </c>
      <c r="G18" s="61" t="n">
        <v>1</v>
      </c>
    </row>
    <row r="19" ht="15" customHeight="1" s="33">
      <c r="A19" s="60" t="n">
        <v>14</v>
      </c>
      <c r="B19" s="60" t="inlineStr">
        <is>
          <t>Iwo jima el infierno en la tierra</t>
        </is>
      </c>
      <c r="C19" s="60" t="n">
        <v>3</v>
      </c>
      <c r="D19" s="60" t="n">
        <v>1</v>
      </c>
      <c r="E19" s="60" t="n">
        <v>0</v>
      </c>
      <c r="F19" s="60" t="n">
        <v>0</v>
      </c>
      <c r="G19" s="60" t="n">
        <v>1</v>
      </c>
    </row>
    <row r="20" ht="15" customHeight="1" s="33">
      <c r="A20" s="61" t="n">
        <v>15</v>
      </c>
      <c r="B20" s="61" t="inlineStr">
        <is>
          <t>Pursuit of Glory</t>
        </is>
      </c>
      <c r="C20" s="61" t="n">
        <v>3</v>
      </c>
      <c r="D20" s="61" t="n">
        <v>1</v>
      </c>
      <c r="E20" s="61" t="n">
        <v>0</v>
      </c>
      <c r="F20" s="61" t="n">
        <v>0</v>
      </c>
      <c r="G20" s="61" t="n">
        <v>1</v>
      </c>
    </row>
    <row r="21" ht="15" customHeight="1" s="33">
      <c r="A21" s="60" t="n">
        <v>16</v>
      </c>
      <c r="B21" s="60" t="inlineStr">
        <is>
          <t>Serie GCACW</t>
        </is>
      </c>
      <c r="C21" s="60" t="n">
        <v>3</v>
      </c>
      <c r="D21" s="60" t="n">
        <v>1</v>
      </c>
      <c r="E21" s="60" t="n">
        <v>0</v>
      </c>
      <c r="F21" s="60" t="n">
        <v>0</v>
      </c>
      <c r="G21" s="60" t="n">
        <v>1</v>
      </c>
    </row>
    <row r="22" ht="15" customHeight="1" s="33">
      <c r="A22" s="61" t="n">
        <v>17</v>
      </c>
      <c r="B22" s="61" t="inlineStr">
        <is>
          <t>The Battle of Normandy</t>
        </is>
      </c>
      <c r="C22" s="61" t="n">
        <v>3</v>
      </c>
      <c r="D22" s="61" t="n">
        <v>1</v>
      </c>
      <c r="E22" s="61" t="n">
        <v>0</v>
      </c>
      <c r="F22" s="61" t="n">
        <v>0</v>
      </c>
      <c r="G22" s="61" t="n">
        <v>1</v>
      </c>
    </row>
    <row r="23" ht="15" customHeight="1" s="33">
      <c r="A23" s="60" t="n">
        <v>18</v>
      </c>
      <c r="B23" s="60" t="inlineStr">
        <is>
          <t>Undaunted Battle of britain</t>
        </is>
      </c>
      <c r="C23" s="60" t="n">
        <v>3</v>
      </c>
      <c r="D23" s="60" t="n">
        <v>1</v>
      </c>
      <c r="E23" s="60" t="n">
        <v>0</v>
      </c>
      <c r="F23" s="60" t="n">
        <v>0</v>
      </c>
      <c r="G23" s="60" t="n">
        <v>1</v>
      </c>
    </row>
    <row r="24" ht="15" customHeight="1" s="33">
      <c r="A24" s="61" t="n">
        <v>19</v>
      </c>
      <c r="B24" s="61" t="inlineStr">
        <is>
          <t>Washington's War</t>
        </is>
      </c>
      <c r="C24" s="61" t="n">
        <v>3</v>
      </c>
      <c r="D24" s="61" t="n">
        <v>1</v>
      </c>
      <c r="E24" s="61" t="n">
        <v>0</v>
      </c>
      <c r="F24" s="61" t="n">
        <v>0</v>
      </c>
      <c r="G24" s="61" t="n">
        <v>1</v>
      </c>
    </row>
    <row r="25" ht="15" customHeight="1" s="33">
      <c r="A25" s="60" t="n">
        <v>20</v>
      </c>
      <c r="B25" s="60" t="inlineStr">
        <is>
          <t>Wing Leader</t>
        </is>
      </c>
      <c r="C25" s="60" t="n">
        <v>3</v>
      </c>
      <c r="D25" s="60" t="n">
        <v>1</v>
      </c>
      <c r="E25" s="60" t="n">
        <v>0</v>
      </c>
      <c r="F25" s="60" t="n">
        <v>0</v>
      </c>
      <c r="G25" s="60" t="n">
        <v>1</v>
      </c>
    </row>
    <row r="26" ht="15" customHeight="1" s="33">
      <c r="A26" s="61" t="n">
        <v>21</v>
      </c>
      <c r="B26" s="61" t="inlineStr">
        <is>
          <t>Asalto a Madrid</t>
        </is>
      </c>
      <c r="C26" s="61" t="n">
        <v>2</v>
      </c>
      <c r="D26" s="61" t="n">
        <v>0</v>
      </c>
      <c r="E26" s="61" t="n">
        <v>1</v>
      </c>
      <c r="F26" s="61" t="n">
        <v>0</v>
      </c>
      <c r="G26" s="61" t="n">
        <v>1</v>
      </c>
    </row>
    <row r="27" ht="15" customHeight="1" s="33">
      <c r="A27" s="60" t="n">
        <v>22</v>
      </c>
      <c r="B27" s="60" t="inlineStr">
        <is>
          <t>Battlefields of the Napoleonic Wars</t>
        </is>
      </c>
      <c r="C27" s="60" t="n">
        <v>2</v>
      </c>
      <c r="D27" s="60" t="n">
        <v>0</v>
      </c>
      <c r="E27" s="60" t="n">
        <v>1</v>
      </c>
      <c r="F27" s="60" t="n">
        <v>0</v>
      </c>
      <c r="G27" s="60" t="n">
        <v>1</v>
      </c>
    </row>
    <row r="28" ht="15" customHeight="1" s="33">
      <c r="A28" s="61" t="n">
        <v>23</v>
      </c>
      <c r="B28" s="61" t="inlineStr">
        <is>
          <t>Combat 1 compáss games</t>
        </is>
      </c>
      <c r="C28" s="61" t="n">
        <v>2</v>
      </c>
      <c r="D28" s="61" t="n">
        <v>0</v>
      </c>
      <c r="E28" s="61" t="n">
        <v>1</v>
      </c>
      <c r="F28" s="61" t="n">
        <v>0</v>
      </c>
      <c r="G28" s="61" t="n">
        <v>1</v>
      </c>
    </row>
    <row r="29" ht="15" customHeight="1" s="33">
      <c r="A29" s="60" t="n">
        <v>24</v>
      </c>
      <c r="B29" s="60" t="inlineStr">
        <is>
          <t>Command &amp; colors Napoleón</t>
        </is>
      </c>
      <c r="C29" s="60" t="n">
        <v>2</v>
      </c>
      <c r="D29" s="60" t="n">
        <v>0</v>
      </c>
      <c r="E29" s="60" t="n">
        <v>1</v>
      </c>
      <c r="F29" s="60" t="n">
        <v>0</v>
      </c>
      <c r="G29" s="60" t="n">
        <v>1</v>
      </c>
    </row>
    <row r="30" ht="15" customHeight="1" s="33">
      <c r="A30" s="61" t="n">
        <v>25</v>
      </c>
      <c r="B30" s="61" t="inlineStr">
        <is>
          <t>Cruzada y Revolución</t>
        </is>
      </c>
      <c r="C30" s="61" t="n">
        <v>2</v>
      </c>
      <c r="D30" s="61" t="n">
        <v>0</v>
      </c>
      <c r="E30" s="61" t="n">
        <v>1</v>
      </c>
      <c r="F30" s="61" t="n">
        <v>0</v>
      </c>
      <c r="G30" s="61" t="n">
        <v>1</v>
      </c>
    </row>
    <row r="31" ht="15" customHeight="1" s="33">
      <c r="A31" s="60" t="n">
        <v>26</v>
      </c>
      <c r="B31" s="60" t="inlineStr">
        <is>
          <t>Imperial Struggle</t>
        </is>
      </c>
      <c r="C31" s="60" t="n">
        <v>2</v>
      </c>
      <c r="D31" s="60" t="n">
        <v>0</v>
      </c>
      <c r="E31" s="60" t="n">
        <v>1</v>
      </c>
      <c r="F31" s="60" t="n">
        <v>0</v>
      </c>
      <c r="G31" s="60" t="n">
        <v>1</v>
      </c>
    </row>
    <row r="32" ht="15" customHeight="1" s="33">
      <c r="A32" s="61" t="n">
        <v>27</v>
      </c>
      <c r="B32" s="61" t="inlineStr">
        <is>
          <t>Mud &amp; Blood</t>
        </is>
      </c>
      <c r="C32" s="61" t="n">
        <v>2</v>
      </c>
      <c r="D32" s="61" t="n">
        <v>0</v>
      </c>
      <c r="E32" s="61" t="n">
        <v>1</v>
      </c>
      <c r="F32" s="61" t="n">
        <v>0</v>
      </c>
      <c r="G32" s="61" t="n">
        <v>1</v>
      </c>
    </row>
    <row r="33" ht="15" customHeight="1" s="33">
      <c r="A33" s="60" t="n">
        <v>28</v>
      </c>
      <c r="B33" s="60" t="inlineStr">
        <is>
          <t>OCS Korea</t>
        </is>
      </c>
      <c r="C33" s="60" t="n">
        <v>2</v>
      </c>
      <c r="D33" s="60" t="n">
        <v>0</v>
      </c>
      <c r="E33" s="60" t="n">
        <v>1</v>
      </c>
      <c r="F33" s="60" t="n">
        <v>0</v>
      </c>
      <c r="G33" s="60" t="n">
        <v>1</v>
      </c>
    </row>
    <row r="34" ht="15" customHeight="1" s="33">
      <c r="A34" s="61" t="n">
        <v>29</v>
      </c>
      <c r="B34" s="61" t="inlineStr">
        <is>
          <t>Onus!</t>
        </is>
      </c>
      <c r="C34" s="61" t="n">
        <v>2</v>
      </c>
      <c r="D34" s="61" t="n">
        <v>0</v>
      </c>
      <c r="E34" s="61" t="n">
        <v>1</v>
      </c>
      <c r="F34" s="61" t="n">
        <v>0</v>
      </c>
      <c r="G34" s="61" t="n">
        <v>1</v>
      </c>
    </row>
    <row r="35" ht="15" customHeight="1" s="33">
      <c r="A35" s="60" t="n">
        <v>30</v>
      </c>
      <c r="B35" s="60" t="inlineStr">
        <is>
          <t>Quartermaster General: South Front</t>
        </is>
      </c>
      <c r="C35" s="60" t="n">
        <v>2</v>
      </c>
      <c r="D35" s="60" t="n">
        <v>0</v>
      </c>
      <c r="E35" s="60" t="n">
        <v>1</v>
      </c>
      <c r="F35" s="60" t="n">
        <v>0</v>
      </c>
      <c r="G35" s="60" t="n">
        <v>1</v>
      </c>
    </row>
    <row r="36" ht="15" customHeight="1" s="33">
      <c r="A36" s="61" t="n">
        <v>31</v>
      </c>
      <c r="B36" s="61" t="inlineStr">
        <is>
          <t>Serie BCS</t>
        </is>
      </c>
      <c r="C36" s="61" t="n">
        <v>2</v>
      </c>
      <c r="D36" s="61" t="n">
        <v>0</v>
      </c>
      <c r="E36" s="61" t="n">
        <v>1</v>
      </c>
      <c r="F36" s="61" t="n">
        <v>0</v>
      </c>
      <c r="G36" s="61" t="n">
        <v>1</v>
      </c>
    </row>
    <row r="37" ht="15" customHeight="1" s="33">
      <c r="A37" s="60" t="n">
        <v>32</v>
      </c>
      <c r="B37" s="60" t="inlineStr">
        <is>
          <t>Undaunted 2200 Callisto</t>
        </is>
      </c>
      <c r="C37" s="60" t="n">
        <v>2</v>
      </c>
      <c r="D37" s="60" t="n">
        <v>0</v>
      </c>
      <c r="E37" s="60" t="n">
        <v>1</v>
      </c>
      <c r="F37" s="60" t="n">
        <v>0</v>
      </c>
      <c r="G37" s="60" t="n">
        <v>1</v>
      </c>
    </row>
    <row r="38" ht="15" customHeight="1" s="33">
      <c r="A38" s="61" t="n">
        <v>33</v>
      </c>
      <c r="B38" s="61" t="inlineStr">
        <is>
          <t>Wir sind das Volk!</t>
        </is>
      </c>
      <c r="C38" s="61" t="n">
        <v>2</v>
      </c>
      <c r="D38" s="61" t="n">
        <v>0</v>
      </c>
      <c r="E38" s="61" t="n">
        <v>1</v>
      </c>
      <c r="F38" s="61" t="n">
        <v>0</v>
      </c>
      <c r="G38" s="61" t="n">
        <v>1</v>
      </c>
    </row>
    <row r="39" ht="15" customHeight="1" s="33">
      <c r="A39" s="60" t="n">
        <v>34</v>
      </c>
      <c r="B39" s="60" t="inlineStr">
        <is>
          <t>Army of the Potomac</t>
        </is>
      </c>
      <c r="C39" s="60" t="n">
        <v>1</v>
      </c>
      <c r="D39" s="60" t="n">
        <v>0</v>
      </c>
      <c r="E39" s="60" t="n">
        <v>0</v>
      </c>
      <c r="F39" s="60" t="n">
        <v>1</v>
      </c>
      <c r="G39" s="60" t="n">
        <v>1</v>
      </c>
    </row>
    <row r="40" ht="15" customHeight="1" s="33">
      <c r="A40" s="61" t="n">
        <v>35</v>
      </c>
      <c r="B40" s="61" t="inlineStr">
        <is>
          <t>BCS Brazen Chariots</t>
        </is>
      </c>
      <c r="C40" s="61" t="n">
        <v>1</v>
      </c>
      <c r="D40" s="61" t="n">
        <v>0</v>
      </c>
      <c r="E40" s="61" t="n">
        <v>0</v>
      </c>
      <c r="F40" s="61" t="n">
        <v>1</v>
      </c>
      <c r="G40" s="61" t="n">
        <v>1</v>
      </c>
    </row>
    <row r="41" ht="15" customHeight="1" s="33">
      <c r="A41" s="60" t="n">
        <v>36</v>
      </c>
      <c r="B41" s="60" t="inlineStr">
        <is>
          <t>Hannibal</t>
        </is>
      </c>
      <c r="C41" s="60" t="n">
        <v>1</v>
      </c>
      <c r="D41" s="60" t="n">
        <v>0</v>
      </c>
      <c r="E41" s="60" t="n">
        <v>0</v>
      </c>
      <c r="F41" s="60" t="n">
        <v>1</v>
      </c>
      <c r="G41" s="60" t="n">
        <v>1</v>
      </c>
    </row>
    <row r="42" ht="15" customHeight="1" s="33">
      <c r="A42" s="61" t="n">
        <v>37</v>
      </c>
      <c r="B42" s="61" t="inlineStr">
        <is>
          <t>Normandy 44</t>
        </is>
      </c>
      <c r="C42" s="61" t="n">
        <v>1</v>
      </c>
      <c r="D42" s="61" t="n">
        <v>0</v>
      </c>
      <c r="E42" s="61" t="n">
        <v>0</v>
      </c>
      <c r="F42" s="61" t="n">
        <v>1</v>
      </c>
      <c r="G42" s="61" t="n">
        <v>1</v>
      </c>
    </row>
    <row r="43" ht="15" customHeight="1" s="33">
      <c r="A43" s="60" t="n">
        <v>38</v>
      </c>
      <c r="B43" s="60" t="inlineStr">
        <is>
          <t>Panzer North Africa</t>
        </is>
      </c>
      <c r="C43" s="60" t="n">
        <v>1</v>
      </c>
      <c r="D43" s="60" t="n">
        <v>0</v>
      </c>
      <c r="E43" s="60" t="n">
        <v>0</v>
      </c>
      <c r="F43" s="60" t="n">
        <v>1</v>
      </c>
      <c r="G43" s="60" t="n">
        <v>1</v>
      </c>
    </row>
    <row r="44" ht="15" customHeight="1" s="33">
      <c r="A44" s="61" t="n">
        <v>39</v>
      </c>
      <c r="B44" s="61" t="inlineStr">
        <is>
          <t>Paths of Glory</t>
        </is>
      </c>
      <c r="C44" s="61" t="n">
        <v>1</v>
      </c>
      <c r="D44" s="61" t="n">
        <v>0</v>
      </c>
      <c r="E44" s="61" t="n">
        <v>0</v>
      </c>
      <c r="F44" s="61" t="n">
        <v>1</v>
      </c>
      <c r="G44" s="61" t="n">
        <v>1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G9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" customWidth="1" style="32" min="1" max="1"/>
    <col width="45" customWidth="1" style="32" min="2" max="2"/>
    <col width="10" customWidth="1" style="32" min="3" max="7"/>
  </cols>
  <sheetData>
    <row r="1" ht="17.25" customHeight="1" s="33">
      <c r="A1" s="46" t="inlineStr">
        <is>
          <t>POWER RANKING VIS BÉLICA — JUNIO 2026</t>
        </is>
      </c>
    </row>
    <row r="2" ht="15" customHeight="1" s="33">
      <c r="A2" s="32" t="inlineStr">
        <is>
          <t>Score = 0,7×norm.jun + 0,3×(0,5×may + 0,3×abr + 0,2×mar)  |  Normalizado sobre votantes de guerra de cada mes</t>
        </is>
      </c>
    </row>
    <row r="3" ht="15" customHeight="1" s="33">
      <c r="A3" s="47" t="inlineStr">
        <is>
          <t>Votos de guerra por mes -&gt; Mar: 15 | Abr: 29 | May: 35 | Jun: 47</t>
        </is>
      </c>
    </row>
    <row r="5" ht="15" customHeight="1" s="33">
      <c r="A5" s="56" t="inlineStr">
        <is>
          <t>Pos</t>
        </is>
      </c>
      <c r="B5" s="56" t="inlineStr">
        <is>
          <t>Juego</t>
        </is>
      </c>
      <c r="C5" s="56" t="inlineStr">
        <is>
          <t>Score</t>
        </is>
      </c>
      <c r="D5" s="56" t="inlineStr">
        <is>
          <t>Norm Jun</t>
        </is>
      </c>
      <c r="E5" s="56" t="inlineStr">
        <is>
          <t>Norm May</t>
        </is>
      </c>
      <c r="F5" s="56" t="inlineStr">
        <is>
          <t>Norm Abr</t>
        </is>
      </c>
      <c r="G5" s="56" t="inlineStr">
        <is>
          <t>Norm Mar</t>
        </is>
      </c>
    </row>
    <row r="6" ht="15" customHeight="1" s="33">
      <c r="A6" s="57" t="n">
        <v>1</v>
      </c>
      <c r="B6" s="57" t="inlineStr">
        <is>
          <t>D-Day at Omaha Beach</t>
        </is>
      </c>
      <c r="C6" s="57" t="n">
        <v>0.52018</v>
      </c>
      <c r="D6" s="57" t="n">
        <v>0.4894</v>
      </c>
      <c r="E6" s="57" t="n">
        <v>0.6571</v>
      </c>
      <c r="F6" s="57" t="n">
        <v>0.3448</v>
      </c>
      <c r="G6" s="57" t="n">
        <v>0.8</v>
      </c>
    </row>
    <row r="7" ht="15" customHeight="1" s="33">
      <c r="A7" s="58" t="n">
        <v>2</v>
      </c>
      <c r="B7" s="58" t="inlineStr">
        <is>
          <t>Operation Overlord</t>
        </is>
      </c>
      <c r="C7" s="58" t="n">
        <v>0.13834</v>
      </c>
      <c r="D7" s="58" t="n">
        <v>0.1915</v>
      </c>
      <c r="E7" s="58" t="n">
        <v>0.0286</v>
      </c>
      <c r="F7" s="58" t="n">
        <v>0</v>
      </c>
      <c r="G7" s="58" t="n">
        <v>0</v>
      </c>
    </row>
    <row r="8" ht="15" customHeight="1" s="33">
      <c r="A8" s="59" t="n">
        <v>3</v>
      </c>
      <c r="B8" s="59" t="inlineStr">
        <is>
          <t>Struggle of Empires</t>
        </is>
      </c>
      <c r="C8" s="59" t="n">
        <v>0.12845</v>
      </c>
      <c r="D8" s="59" t="n">
        <v>0.1702</v>
      </c>
      <c r="E8" s="59" t="n">
        <v>0</v>
      </c>
      <c r="F8" s="59" t="n">
        <v>0.1034</v>
      </c>
      <c r="G8" s="59" t="n">
        <v>0</v>
      </c>
    </row>
    <row r="9" ht="15" customHeight="1" s="33">
      <c r="A9" s="60" t="n">
        <v>4</v>
      </c>
      <c r="B9" s="60" t="inlineStr">
        <is>
          <t>Twilight Struggle</t>
        </is>
      </c>
      <c r="C9" s="60" t="n">
        <v>0.12841</v>
      </c>
      <c r="D9" s="60" t="n">
        <v>0.1277</v>
      </c>
      <c r="E9" s="60" t="n">
        <v>0.1714</v>
      </c>
      <c r="F9" s="60" t="n">
        <v>0.1034</v>
      </c>
      <c r="G9" s="60" t="n">
        <v>0.0667</v>
      </c>
    </row>
    <row r="10" ht="15" customHeight="1" s="33">
      <c r="A10" s="61" t="n">
        <v>5</v>
      </c>
      <c r="B10" s="61" t="inlineStr">
        <is>
          <t>Asturias 1936-1937</t>
        </is>
      </c>
      <c r="C10" s="61" t="n">
        <v>0.11914</v>
      </c>
      <c r="D10" s="61" t="n">
        <v>0.1702</v>
      </c>
      <c r="E10" s="61" t="n">
        <v>0</v>
      </c>
      <c r="F10" s="61" t="n">
        <v>0</v>
      </c>
      <c r="G10" s="61" t="n">
        <v>0</v>
      </c>
    </row>
    <row r="11" ht="15" customHeight="1" s="33">
      <c r="A11" s="60" t="n">
        <v>6</v>
      </c>
      <c r="B11" s="60" t="inlineStr">
        <is>
          <t>The russian campaign</t>
        </is>
      </c>
      <c r="C11" s="60" t="n">
        <v>0.1128</v>
      </c>
      <c r="D11" s="60" t="n">
        <v>0.1489</v>
      </c>
      <c r="E11" s="60" t="n">
        <v>0.0571</v>
      </c>
      <c r="F11" s="60" t="n">
        <v>0</v>
      </c>
      <c r="G11" s="60" t="n">
        <v>0</v>
      </c>
    </row>
    <row r="12" ht="15" customHeight="1" s="33">
      <c r="A12" s="61" t="n">
        <v>7</v>
      </c>
      <c r="B12" s="61" t="inlineStr">
        <is>
          <t>Fields of Fire</t>
        </is>
      </c>
      <c r="C12" s="61" t="n">
        <v>0.09796000000000001</v>
      </c>
      <c r="D12" s="61" t="n">
        <v>0.1277</v>
      </c>
      <c r="E12" s="61" t="n">
        <v>0.0571</v>
      </c>
      <c r="F12" s="61" t="n">
        <v>0</v>
      </c>
      <c r="G12" s="61" t="n">
        <v>0</v>
      </c>
    </row>
    <row r="13" ht="15" customHeight="1" s="33">
      <c r="A13" s="60" t="n">
        <v>8</v>
      </c>
      <c r="B13" s="60" t="inlineStr">
        <is>
          <t>Combat Commander</t>
        </is>
      </c>
      <c r="C13" s="60" t="n">
        <v>0.09768</v>
      </c>
      <c r="D13" s="60" t="n">
        <v>0.1277</v>
      </c>
      <c r="E13" s="60" t="n">
        <v>0.0286</v>
      </c>
      <c r="F13" s="60" t="n">
        <v>0</v>
      </c>
      <c r="G13" s="60" t="n">
        <v>0.0667</v>
      </c>
    </row>
    <row r="14" ht="15" customHeight="1" s="33">
      <c r="A14" s="61" t="n">
        <v>9</v>
      </c>
      <c r="B14" s="61" t="inlineStr">
        <is>
          <t>Julius Caesar</t>
        </is>
      </c>
      <c r="C14" s="61" t="n">
        <v>0.07877000000000001</v>
      </c>
      <c r="D14" s="61" t="n">
        <v>0.1064</v>
      </c>
      <c r="E14" s="61" t="n">
        <v>0.0286</v>
      </c>
      <c r="F14" s="61" t="n">
        <v>0</v>
      </c>
      <c r="G14" s="61" t="n">
        <v>0</v>
      </c>
    </row>
    <row r="15" ht="15" customHeight="1" s="33">
      <c r="A15" s="60" t="n">
        <v>10</v>
      </c>
      <c r="B15" s="60" t="inlineStr">
        <is>
          <t>Undaunted Stalingrad</t>
        </is>
      </c>
      <c r="C15" s="60" t="n">
        <v>0.07448</v>
      </c>
      <c r="D15" s="60" t="n">
        <v>0.1064</v>
      </c>
      <c r="E15" s="60" t="n">
        <v>0</v>
      </c>
      <c r="F15" s="60" t="n">
        <v>0</v>
      </c>
      <c r="G15" s="60" t="n">
        <v>0</v>
      </c>
    </row>
    <row r="16" ht="15" customHeight="1" s="33">
      <c r="A16" s="61" t="n">
        <v>11</v>
      </c>
      <c r="B16" s="61" t="inlineStr">
        <is>
          <t>Urban Operations</t>
        </is>
      </c>
      <c r="C16" s="61" t="n">
        <v>0.07448</v>
      </c>
      <c r="D16" s="61" t="n">
        <v>0.1064</v>
      </c>
      <c r="E16" s="61" t="n">
        <v>0</v>
      </c>
      <c r="F16" s="61" t="n">
        <v>0</v>
      </c>
      <c r="G16" s="61" t="n">
        <v>0</v>
      </c>
    </row>
    <row r="17" ht="15" customHeight="1" s="33">
      <c r="A17" s="60" t="n">
        <v>12</v>
      </c>
      <c r="B17" s="60" t="inlineStr">
        <is>
          <t>Washington's War</t>
        </is>
      </c>
      <c r="C17" s="60" t="n">
        <v>0.05751</v>
      </c>
      <c r="D17" s="60" t="n">
        <v>0.0638</v>
      </c>
      <c r="E17" s="60" t="n">
        <v>0.0857</v>
      </c>
      <c r="F17" s="60" t="n">
        <v>0</v>
      </c>
      <c r="G17" s="60" t="n">
        <v>0</v>
      </c>
    </row>
    <row r="18" ht="15" customHeight="1" s="33">
      <c r="A18" s="61" t="n">
        <v>13</v>
      </c>
      <c r="B18" s="61" t="inlineStr">
        <is>
          <t>Pursuit of Glory</t>
        </is>
      </c>
      <c r="C18" s="61" t="n">
        <v>0.05751</v>
      </c>
      <c r="D18" s="61" t="n">
        <v>0.0638</v>
      </c>
      <c r="E18" s="61" t="n">
        <v>0.0857</v>
      </c>
      <c r="F18" s="61" t="n">
        <v>0</v>
      </c>
      <c r="G18" s="61" t="n">
        <v>0</v>
      </c>
    </row>
    <row r="19" ht="15" customHeight="1" s="33">
      <c r="A19" s="60" t="n">
        <v>14</v>
      </c>
      <c r="B19" s="60" t="inlineStr">
        <is>
          <t>Imperial Struggle</t>
        </is>
      </c>
      <c r="C19" s="60" t="n">
        <v>0.04534</v>
      </c>
      <c r="D19" s="60" t="n">
        <v>0.0426</v>
      </c>
      <c r="E19" s="60" t="n">
        <v>0</v>
      </c>
      <c r="F19" s="60" t="n">
        <v>0.1724</v>
      </c>
      <c r="G19" s="60" t="n">
        <v>0</v>
      </c>
    </row>
    <row r="20" ht="15" customHeight="1" s="33">
      <c r="A20" s="61" t="n">
        <v>15</v>
      </c>
      <c r="B20" s="61" t="inlineStr">
        <is>
          <t>Congress of Vienna</t>
        </is>
      </c>
      <c r="C20" s="61" t="n">
        <v>0.04466</v>
      </c>
      <c r="D20" s="61" t="n">
        <v>0.0638</v>
      </c>
      <c r="E20" s="61" t="n">
        <v>0</v>
      </c>
      <c r="F20" s="61" t="n">
        <v>0</v>
      </c>
      <c r="G20" s="61" t="n">
        <v>0</v>
      </c>
    </row>
    <row r="21" ht="15" customHeight="1" s="33">
      <c r="A21" s="60" t="n">
        <v>16</v>
      </c>
      <c r="B21" s="60" t="inlineStr">
        <is>
          <t>Serie GCACW</t>
        </is>
      </c>
      <c r="C21" s="60" t="n">
        <v>0.04466</v>
      </c>
      <c r="D21" s="60" t="n">
        <v>0.0638</v>
      </c>
      <c r="E21" s="60" t="n">
        <v>0</v>
      </c>
      <c r="F21" s="60" t="n">
        <v>0</v>
      </c>
      <c r="G21" s="60" t="n">
        <v>0</v>
      </c>
    </row>
    <row r="22" ht="15" customHeight="1" s="33">
      <c r="A22" s="61" t="n">
        <v>17</v>
      </c>
      <c r="B22" s="61" t="inlineStr">
        <is>
          <t>Wing Leader</t>
        </is>
      </c>
      <c r="C22" s="61" t="n">
        <v>0.04466</v>
      </c>
      <c r="D22" s="61" t="n">
        <v>0.0638</v>
      </c>
      <c r="E22" s="61" t="n">
        <v>0</v>
      </c>
      <c r="F22" s="61" t="n">
        <v>0</v>
      </c>
      <c r="G22" s="61" t="n">
        <v>0</v>
      </c>
    </row>
    <row r="23" ht="15" customHeight="1" s="33">
      <c r="A23" s="60" t="n">
        <v>18</v>
      </c>
      <c r="B23" s="60" t="inlineStr">
        <is>
          <t>The Battle of Normandy</t>
        </is>
      </c>
      <c r="C23" s="60" t="n">
        <v>0.04466</v>
      </c>
      <c r="D23" s="60" t="n">
        <v>0.0638</v>
      </c>
      <c r="E23" s="60" t="n">
        <v>0</v>
      </c>
      <c r="F23" s="60" t="n">
        <v>0</v>
      </c>
      <c r="G23" s="60" t="n">
        <v>0</v>
      </c>
    </row>
    <row r="24" ht="15" customHeight="1" s="33">
      <c r="A24" s="61" t="n">
        <v>19</v>
      </c>
      <c r="B24" s="61" t="inlineStr">
        <is>
          <t>GBACW Gettysburg</t>
        </is>
      </c>
      <c r="C24" s="61" t="n">
        <v>0.04466</v>
      </c>
      <c r="D24" s="61" t="n">
        <v>0.0638</v>
      </c>
      <c r="E24" s="61" t="n">
        <v>0</v>
      </c>
      <c r="F24" s="61" t="n">
        <v>0</v>
      </c>
      <c r="G24" s="61" t="n">
        <v>0</v>
      </c>
    </row>
    <row r="25" ht="15" customHeight="1" s="33">
      <c r="A25" s="60" t="n">
        <v>20</v>
      </c>
      <c r="B25" s="60" t="inlineStr">
        <is>
          <t>Undaunted Battle of britain</t>
        </is>
      </c>
      <c r="C25" s="60" t="n">
        <v>0.04466</v>
      </c>
      <c r="D25" s="60" t="n">
        <v>0.0638</v>
      </c>
      <c r="E25" s="60" t="n">
        <v>0</v>
      </c>
      <c r="F25" s="60" t="n">
        <v>0</v>
      </c>
      <c r="G25" s="60" t="n">
        <v>0</v>
      </c>
    </row>
    <row r="26" ht="15" customHeight="1" s="33">
      <c r="A26" s="61" t="n">
        <v>21</v>
      </c>
      <c r="B26" s="61" t="inlineStr">
        <is>
          <t>Iwo jima el infierno en la tierra</t>
        </is>
      </c>
      <c r="C26" s="61" t="n">
        <v>0.04466</v>
      </c>
      <c r="D26" s="61" t="n">
        <v>0.0638</v>
      </c>
      <c r="E26" s="61" t="n">
        <v>0</v>
      </c>
      <c r="F26" s="61" t="n">
        <v>0</v>
      </c>
      <c r="G26" s="61" t="n">
        <v>0</v>
      </c>
    </row>
    <row r="27" ht="15" customHeight="1" s="33">
      <c r="A27" s="60" t="n">
        <v>22</v>
      </c>
      <c r="B27" s="60" t="inlineStr">
        <is>
          <t>Quartermaster General: South Front</t>
        </is>
      </c>
      <c r="C27" s="60" t="n">
        <v>0.04182</v>
      </c>
      <c r="D27" s="60" t="n">
        <v>0.0426</v>
      </c>
      <c r="E27" s="60" t="n">
        <v>0</v>
      </c>
      <c r="F27" s="60" t="n">
        <v>0</v>
      </c>
      <c r="G27" s="60" t="n">
        <v>0.2</v>
      </c>
    </row>
    <row r="28" ht="15" customHeight="1" s="33">
      <c r="A28" s="61" t="n">
        <v>23</v>
      </c>
      <c r="B28" s="61" t="inlineStr">
        <is>
          <t>Wir sind das Volk!</t>
        </is>
      </c>
      <c r="C28" s="61" t="n">
        <v>0.03693</v>
      </c>
      <c r="D28" s="61" t="n">
        <v>0.0426</v>
      </c>
      <c r="E28" s="61" t="n">
        <v>0</v>
      </c>
      <c r="F28" s="61" t="n">
        <v>0.0345</v>
      </c>
      <c r="G28" s="61" t="n">
        <v>0.0667</v>
      </c>
    </row>
    <row r="29" ht="15" customHeight="1" s="33">
      <c r="A29" s="60" t="n">
        <v>24</v>
      </c>
      <c r="B29" s="60" t="inlineStr">
        <is>
          <t>Cruzada y Revolución</t>
        </is>
      </c>
      <c r="C29" s="60" t="n">
        <v>0.03603</v>
      </c>
      <c r="D29" s="60" t="n">
        <v>0.0426</v>
      </c>
      <c r="E29" s="60" t="n">
        <v>0</v>
      </c>
      <c r="F29" s="60" t="n">
        <v>0.06900000000000001</v>
      </c>
      <c r="G29" s="60" t="n">
        <v>0</v>
      </c>
    </row>
    <row r="30" ht="15" customHeight="1" s="33">
      <c r="A30" s="61" t="n">
        <v>25</v>
      </c>
      <c r="B30" s="61" t="inlineStr">
        <is>
          <t>Senderos de Gloria</t>
        </is>
      </c>
      <c r="C30" s="61" t="n">
        <v>0.03416</v>
      </c>
      <c r="D30" s="61" t="n">
        <v>0</v>
      </c>
      <c r="E30" s="61" t="n">
        <v>0.0857</v>
      </c>
      <c r="F30" s="61" t="n">
        <v>0.1034</v>
      </c>
      <c r="G30" s="61" t="n">
        <v>0.2</v>
      </c>
    </row>
    <row r="31" ht="15" customHeight="1" s="33">
      <c r="A31" s="60" t="n">
        <v>26</v>
      </c>
      <c r="B31" s="60" t="inlineStr">
        <is>
          <t>Command &amp; colors Napoleón</t>
        </is>
      </c>
      <c r="C31" s="60" t="n">
        <v>0.02982</v>
      </c>
      <c r="D31" s="60" t="n">
        <v>0.0426</v>
      </c>
      <c r="E31" s="60" t="n">
        <v>0</v>
      </c>
      <c r="F31" s="60" t="n">
        <v>0</v>
      </c>
      <c r="G31" s="60" t="n">
        <v>0</v>
      </c>
    </row>
    <row r="32" ht="15" customHeight="1" s="33">
      <c r="A32" s="61" t="n">
        <v>27</v>
      </c>
      <c r="B32" s="61" t="inlineStr">
        <is>
          <t>Onus!</t>
        </is>
      </c>
      <c r="C32" s="61" t="n">
        <v>0.02982</v>
      </c>
      <c r="D32" s="61" t="n">
        <v>0.0426</v>
      </c>
      <c r="E32" s="61" t="n">
        <v>0</v>
      </c>
      <c r="F32" s="61" t="n">
        <v>0</v>
      </c>
      <c r="G32" s="61" t="n">
        <v>0</v>
      </c>
    </row>
    <row r="33" ht="15" customHeight="1" s="33">
      <c r="A33" s="60" t="n">
        <v>28</v>
      </c>
      <c r="B33" s="60" t="inlineStr">
        <is>
          <t>OCS Korea</t>
        </is>
      </c>
      <c r="C33" s="60" t="n">
        <v>0.02982</v>
      </c>
      <c r="D33" s="60" t="n">
        <v>0.0426</v>
      </c>
      <c r="E33" s="60" t="n">
        <v>0</v>
      </c>
      <c r="F33" s="60" t="n">
        <v>0</v>
      </c>
      <c r="G33" s="60" t="n">
        <v>0</v>
      </c>
    </row>
    <row r="34" ht="15" customHeight="1" s="33">
      <c r="A34" s="61" t="n">
        <v>29</v>
      </c>
      <c r="B34" s="61" t="inlineStr">
        <is>
          <t>Undaunted 2200 Callisto</t>
        </is>
      </c>
      <c r="C34" s="61" t="n">
        <v>0.02982</v>
      </c>
      <c r="D34" s="61" t="n">
        <v>0.0426</v>
      </c>
      <c r="E34" s="61" t="n">
        <v>0</v>
      </c>
      <c r="F34" s="61" t="n">
        <v>0</v>
      </c>
      <c r="G34" s="61" t="n">
        <v>0</v>
      </c>
    </row>
    <row r="35" ht="15" customHeight="1" s="33">
      <c r="A35" s="60" t="n">
        <v>30</v>
      </c>
      <c r="B35" s="60" t="inlineStr">
        <is>
          <t>Serie BCS</t>
        </is>
      </c>
      <c r="C35" s="60" t="n">
        <v>0.02982</v>
      </c>
      <c r="D35" s="60" t="n">
        <v>0.0426</v>
      </c>
      <c r="E35" s="60" t="n">
        <v>0</v>
      </c>
      <c r="F35" s="60" t="n">
        <v>0</v>
      </c>
      <c r="G35" s="60" t="n">
        <v>0</v>
      </c>
    </row>
    <row r="36" ht="15" customHeight="1" s="33">
      <c r="A36" s="61" t="n">
        <v>31</v>
      </c>
      <c r="B36" s="61" t="inlineStr">
        <is>
          <t>Battlefields of the Napoleonic Wars</t>
        </is>
      </c>
      <c r="C36" s="61" t="n">
        <v>0.02982</v>
      </c>
      <c r="D36" s="61" t="n">
        <v>0.0426</v>
      </c>
      <c r="E36" s="61" t="n">
        <v>0</v>
      </c>
      <c r="F36" s="61" t="n">
        <v>0</v>
      </c>
      <c r="G36" s="61" t="n">
        <v>0</v>
      </c>
    </row>
    <row r="37" ht="15" customHeight="1" s="33">
      <c r="A37" s="60" t="n">
        <v>32</v>
      </c>
      <c r="B37" s="60" t="inlineStr">
        <is>
          <t>Mud &amp; Blood</t>
        </is>
      </c>
      <c r="C37" s="60" t="n">
        <v>0.02982</v>
      </c>
      <c r="D37" s="60" t="n">
        <v>0.0426</v>
      </c>
      <c r="E37" s="60" t="n">
        <v>0</v>
      </c>
      <c r="F37" s="60" t="n">
        <v>0</v>
      </c>
      <c r="G37" s="60" t="n">
        <v>0</v>
      </c>
    </row>
    <row r="38" ht="15" customHeight="1" s="33">
      <c r="A38" s="61" t="n">
        <v>33</v>
      </c>
      <c r="B38" s="61" t="inlineStr">
        <is>
          <t>Asalto a Madrid</t>
        </is>
      </c>
      <c r="C38" s="61" t="n">
        <v>0.02982</v>
      </c>
      <c r="D38" s="61" t="n">
        <v>0.0426</v>
      </c>
      <c r="E38" s="61" t="n">
        <v>0</v>
      </c>
      <c r="F38" s="61" t="n">
        <v>0</v>
      </c>
      <c r="G38" s="61" t="n">
        <v>0</v>
      </c>
    </row>
    <row r="39" ht="15" customHeight="1" s="33">
      <c r="A39" s="60" t="n">
        <v>34</v>
      </c>
      <c r="B39" s="60" t="inlineStr">
        <is>
          <t>Combat 1 compáss games</t>
        </is>
      </c>
      <c r="C39" s="60" t="n">
        <v>0.02982</v>
      </c>
      <c r="D39" s="60" t="n">
        <v>0.0426</v>
      </c>
      <c r="E39" s="60" t="n">
        <v>0</v>
      </c>
      <c r="F39" s="60" t="n">
        <v>0</v>
      </c>
      <c r="G39" s="60" t="n">
        <v>0</v>
      </c>
    </row>
    <row r="40" ht="15" customHeight="1" s="33">
      <c r="A40" s="61" t="n">
        <v>35</v>
      </c>
      <c r="B40" s="61" t="inlineStr">
        <is>
          <t>Dune: War for Arrakis</t>
        </is>
      </c>
      <c r="C40" s="61" t="n">
        <v>0.02841</v>
      </c>
      <c r="D40" s="61" t="n">
        <v>0</v>
      </c>
      <c r="E40" s="61" t="n">
        <v>0</v>
      </c>
      <c r="F40" s="61" t="n">
        <v>0.1379</v>
      </c>
      <c r="G40" s="61" t="n">
        <v>0.2667</v>
      </c>
    </row>
    <row r="41" ht="15" customHeight="1" s="33">
      <c r="A41" s="60" t="n">
        <v>36</v>
      </c>
      <c r="B41" s="60" t="inlineStr">
        <is>
          <t>Resistencia Holandesa</t>
        </is>
      </c>
      <c r="C41" s="60" t="n">
        <v>0.02678</v>
      </c>
      <c r="D41" s="60" t="n">
        <v>0</v>
      </c>
      <c r="E41" s="60" t="n">
        <v>0.0571</v>
      </c>
      <c r="F41" s="60" t="n">
        <v>0.06900000000000001</v>
      </c>
      <c r="G41" s="60" t="n">
        <v>0.2</v>
      </c>
    </row>
    <row r="42" ht="15" customHeight="1" s="33">
      <c r="A42" s="61" t="n">
        <v>37</v>
      </c>
      <c r="B42" s="61" t="inlineStr">
        <is>
          <t>Star Wars: La Batalla de Hoth</t>
        </is>
      </c>
      <c r="C42" s="61" t="n">
        <v>0.02483</v>
      </c>
      <c r="D42" s="61" t="n">
        <v>0</v>
      </c>
      <c r="E42" s="61" t="n">
        <v>0</v>
      </c>
      <c r="F42" s="61" t="n">
        <v>0.2759</v>
      </c>
      <c r="G42" s="61" t="n">
        <v>0</v>
      </c>
    </row>
    <row r="43" ht="15" customHeight="1" s="33">
      <c r="A43" s="60" t="n">
        <v>38</v>
      </c>
      <c r="B43" s="60" t="inlineStr">
        <is>
          <t>Triumph and Tragedy</t>
        </is>
      </c>
      <c r="C43" s="60" t="n">
        <v>0.02408</v>
      </c>
      <c r="D43" s="60" t="n">
        <v>0</v>
      </c>
      <c r="E43" s="60" t="n">
        <v>0.0571</v>
      </c>
      <c r="F43" s="60" t="n">
        <v>0.1724</v>
      </c>
      <c r="G43" s="60" t="n">
        <v>0</v>
      </c>
    </row>
    <row r="44" ht="15" customHeight="1" s="33">
      <c r="A44" s="61" t="n">
        <v>39</v>
      </c>
      <c r="B44" s="61" t="inlineStr">
        <is>
          <t>Here I Stand</t>
        </is>
      </c>
      <c r="C44" s="61" t="n">
        <v>0.02216</v>
      </c>
      <c r="D44" s="61" t="n">
        <v>0</v>
      </c>
      <c r="E44" s="61" t="n">
        <v>0.0857</v>
      </c>
      <c r="F44" s="61" t="n">
        <v>0.1034</v>
      </c>
      <c r="G44" s="61" t="n">
        <v>0</v>
      </c>
    </row>
    <row r="45" ht="15" customHeight="1" s="33">
      <c r="A45" s="60" t="n">
        <v>40</v>
      </c>
      <c r="B45" s="60" t="inlineStr">
        <is>
          <t>Paths of Glory</t>
        </is>
      </c>
      <c r="C45" s="60" t="n">
        <v>0.01801</v>
      </c>
      <c r="D45" s="60" t="n">
        <v>0.0213</v>
      </c>
      <c r="E45" s="60" t="n">
        <v>0</v>
      </c>
      <c r="F45" s="60" t="n">
        <v>0.0345</v>
      </c>
      <c r="G45" s="60" t="n">
        <v>0</v>
      </c>
    </row>
    <row r="46" ht="15" customHeight="1" s="33">
      <c r="A46" s="61" t="n">
        <v>41</v>
      </c>
      <c r="B46" s="61" t="inlineStr">
        <is>
          <t>Army of the Potomac</t>
        </is>
      </c>
      <c r="C46" s="61" t="n">
        <v>0.01491</v>
      </c>
      <c r="D46" s="61" t="n">
        <v>0.0213</v>
      </c>
      <c r="E46" s="61" t="n">
        <v>0</v>
      </c>
      <c r="F46" s="61" t="n">
        <v>0</v>
      </c>
      <c r="G46" s="61" t="n">
        <v>0</v>
      </c>
    </row>
    <row r="47" ht="15" customHeight="1" s="33">
      <c r="A47" s="60" t="n">
        <v>42</v>
      </c>
      <c r="B47" s="60" t="inlineStr">
        <is>
          <t>Panzer North Africa</t>
        </is>
      </c>
      <c r="C47" s="60" t="n">
        <v>0.01491</v>
      </c>
      <c r="D47" s="60" t="n">
        <v>0.0213</v>
      </c>
      <c r="E47" s="60" t="n">
        <v>0</v>
      </c>
      <c r="F47" s="60" t="n">
        <v>0</v>
      </c>
      <c r="G47" s="60" t="n">
        <v>0</v>
      </c>
    </row>
    <row r="48" ht="15" customHeight="1" s="33">
      <c r="A48" s="61" t="n">
        <v>43</v>
      </c>
      <c r="B48" s="61" t="inlineStr">
        <is>
          <t>Hannibal</t>
        </is>
      </c>
      <c r="C48" s="61" t="n">
        <v>0.01491</v>
      </c>
      <c r="D48" s="61" t="n">
        <v>0.0213</v>
      </c>
      <c r="E48" s="61" t="n">
        <v>0</v>
      </c>
      <c r="F48" s="61" t="n">
        <v>0</v>
      </c>
      <c r="G48" s="61" t="n">
        <v>0</v>
      </c>
    </row>
    <row r="49" ht="15" customHeight="1" s="33">
      <c r="A49" s="60" t="n">
        <v>44</v>
      </c>
      <c r="B49" s="60" t="inlineStr">
        <is>
          <t>BCS Brazen Chariots</t>
        </is>
      </c>
      <c r="C49" s="60" t="n">
        <v>0.01491</v>
      </c>
      <c r="D49" s="60" t="n">
        <v>0.0213</v>
      </c>
      <c r="E49" s="60" t="n">
        <v>0</v>
      </c>
      <c r="F49" s="60" t="n">
        <v>0</v>
      </c>
      <c r="G49" s="60" t="n">
        <v>0</v>
      </c>
    </row>
    <row r="50" ht="15" customHeight="1" s="33">
      <c r="A50" s="61" t="n">
        <v>45</v>
      </c>
      <c r="B50" s="61" t="inlineStr">
        <is>
          <t>Normandy 44</t>
        </is>
      </c>
      <c r="C50" s="61" t="n">
        <v>0.01491</v>
      </c>
      <c r="D50" s="61" t="n">
        <v>0.0213</v>
      </c>
      <c r="E50" s="61" t="n">
        <v>0</v>
      </c>
      <c r="F50" s="61" t="n">
        <v>0</v>
      </c>
      <c r="G50" s="61" t="n">
        <v>0</v>
      </c>
    </row>
    <row r="51" ht="15" customHeight="1" s="33">
      <c r="A51" s="60" t="n">
        <v>46</v>
      </c>
      <c r="B51" s="60" t="inlineStr">
        <is>
          <t>Kanal</t>
        </is>
      </c>
      <c r="C51" s="60" t="n">
        <v>0.0145</v>
      </c>
      <c r="D51" s="60" t="n">
        <v>0</v>
      </c>
      <c r="E51" s="60" t="n">
        <v>0.0286</v>
      </c>
      <c r="F51" s="60" t="n">
        <v>0.06900000000000001</v>
      </c>
      <c r="G51" s="60" t="n">
        <v>0.0667</v>
      </c>
    </row>
    <row r="52" ht="15" customHeight="1" s="33">
      <c r="A52" s="61" t="n">
        <v>47</v>
      </c>
      <c r="B52" s="61" t="inlineStr">
        <is>
          <t>Virgin Queen</t>
        </is>
      </c>
      <c r="C52" s="61" t="n">
        <v>0.0136</v>
      </c>
      <c r="D52" s="61" t="n">
        <v>0</v>
      </c>
      <c r="E52" s="61" t="n">
        <v>0.0286</v>
      </c>
      <c r="F52" s="61" t="n">
        <v>0.1034</v>
      </c>
      <c r="G52" s="61" t="n">
        <v>0</v>
      </c>
    </row>
    <row r="53" ht="15" customHeight="1" s="33">
      <c r="A53" s="60" t="n">
        <v>48</v>
      </c>
      <c r="B53" s="60" t="inlineStr">
        <is>
          <t>Battalion S3 Issue 1 (Revista de MMP)</t>
        </is>
      </c>
      <c r="C53" s="60" t="n">
        <v>0.01286</v>
      </c>
      <c r="D53" s="60" t="n">
        <v>0</v>
      </c>
      <c r="E53" s="60" t="n">
        <v>0.0857</v>
      </c>
      <c r="F53" s="60" t="n">
        <v>0</v>
      </c>
      <c r="G53" s="60" t="n">
        <v>0</v>
      </c>
    </row>
    <row r="54" ht="15" customHeight="1" s="33">
      <c r="A54" s="61" t="n">
        <v>49</v>
      </c>
      <c r="B54" s="61" t="inlineStr">
        <is>
          <t>Traces of War</t>
        </is>
      </c>
      <c r="C54" s="61" t="n">
        <v>0.01286</v>
      </c>
      <c r="D54" s="61" t="n">
        <v>0</v>
      </c>
      <c r="E54" s="61" t="n">
        <v>0.0857</v>
      </c>
      <c r="F54" s="61" t="n">
        <v>0</v>
      </c>
      <c r="G54" s="61" t="n">
        <v>0</v>
      </c>
    </row>
    <row r="55" ht="15" customHeight="1" s="33">
      <c r="A55" s="60" t="n">
        <v>50</v>
      </c>
      <c r="B55" s="60" t="inlineStr">
        <is>
          <t>El imperio del sol</t>
        </is>
      </c>
      <c r="C55" s="60" t="n">
        <v>0.01286</v>
      </c>
      <c r="D55" s="60" t="n">
        <v>0</v>
      </c>
      <c r="E55" s="60" t="n">
        <v>0.0857</v>
      </c>
      <c r="F55" s="60" t="n">
        <v>0</v>
      </c>
      <c r="G55" s="60" t="n">
        <v>0</v>
      </c>
    </row>
    <row r="56" ht="15" customHeight="1" s="33">
      <c r="A56" s="61" t="n">
        <v>51</v>
      </c>
      <c r="B56" s="61" t="inlineStr">
        <is>
          <t>Men of Iron Tri-Pack</t>
        </is>
      </c>
      <c r="C56" s="61" t="n">
        <v>0.01286</v>
      </c>
      <c r="D56" s="61" t="n">
        <v>0</v>
      </c>
      <c r="E56" s="61" t="n">
        <v>0.0857</v>
      </c>
      <c r="F56" s="61" t="n">
        <v>0</v>
      </c>
      <c r="G56" s="61" t="n">
        <v>0</v>
      </c>
    </row>
    <row r="57" ht="15" customHeight="1" s="33">
      <c r="A57" s="60" t="n">
        <v>52</v>
      </c>
      <c r="B57" s="60" t="inlineStr">
        <is>
          <t>Divine Right</t>
        </is>
      </c>
      <c r="C57" s="60" t="n">
        <v>0.01286</v>
      </c>
      <c r="D57" s="60" t="n">
        <v>0</v>
      </c>
      <c r="E57" s="60" t="n">
        <v>0.0857</v>
      </c>
      <c r="F57" s="60" t="n">
        <v>0</v>
      </c>
      <c r="G57" s="60" t="n">
        <v>0</v>
      </c>
    </row>
    <row r="58" ht="15" customHeight="1" s="33">
      <c r="A58" s="61" t="n">
        <v>53</v>
      </c>
      <c r="B58" s="61" t="inlineStr">
        <is>
          <t>Far East war 1592</t>
        </is>
      </c>
      <c r="C58" s="61" t="n">
        <v>0.01286</v>
      </c>
      <c r="D58" s="61" t="n">
        <v>0</v>
      </c>
      <c r="E58" s="61" t="n">
        <v>0.0857</v>
      </c>
      <c r="F58" s="61" t="n">
        <v>0</v>
      </c>
      <c r="G58" s="61" t="n">
        <v>0</v>
      </c>
    </row>
    <row r="59" ht="15" customHeight="1" s="33">
      <c r="A59" s="60" t="n">
        <v>54</v>
      </c>
      <c r="B59" s="60" t="inlineStr">
        <is>
          <t>Stonewall Jackson Way II</t>
        </is>
      </c>
      <c r="C59" s="60" t="n">
        <v>0.01286</v>
      </c>
      <c r="D59" s="60" t="n">
        <v>0</v>
      </c>
      <c r="E59" s="60" t="n">
        <v>0.0857</v>
      </c>
      <c r="F59" s="60" t="n">
        <v>0</v>
      </c>
      <c r="G59" s="60" t="n">
        <v>0</v>
      </c>
    </row>
    <row r="60" ht="15" customHeight="1" s="33">
      <c r="A60" s="61" t="n">
        <v>55</v>
      </c>
      <c r="B60" s="61" t="inlineStr">
        <is>
          <t>Close Quarters Battles: Waterloo</t>
        </is>
      </c>
      <c r="C60" s="61" t="n">
        <v>0.01286</v>
      </c>
      <c r="D60" s="61" t="n">
        <v>0</v>
      </c>
      <c r="E60" s="61" t="n">
        <v>0.0857</v>
      </c>
      <c r="F60" s="61" t="n">
        <v>0</v>
      </c>
      <c r="G60" s="61" t="n">
        <v>0</v>
      </c>
    </row>
    <row r="61" ht="15" customHeight="1" s="33">
      <c r="A61" s="60" t="n">
        <v>56</v>
      </c>
      <c r="B61" s="60" t="inlineStr">
        <is>
          <t>Stonewall in the Valley</t>
        </is>
      </c>
      <c r="C61" s="60" t="n">
        <v>0.012</v>
      </c>
      <c r="D61" s="60" t="n">
        <v>0</v>
      </c>
      <c r="E61" s="60" t="n">
        <v>0</v>
      </c>
      <c r="F61" s="60" t="n">
        <v>0</v>
      </c>
      <c r="G61" s="60" t="n">
        <v>0.2</v>
      </c>
    </row>
    <row r="62" ht="15" customHeight="1" s="33">
      <c r="A62" s="61" t="n">
        <v>57</v>
      </c>
      <c r="B62" s="61" t="inlineStr">
        <is>
          <t>Skies Above Britain</t>
        </is>
      </c>
      <c r="C62" s="61" t="n">
        <v>0.012</v>
      </c>
      <c r="D62" s="61" t="n">
        <v>0</v>
      </c>
      <c r="E62" s="61" t="n">
        <v>0</v>
      </c>
      <c r="F62" s="61" t="n">
        <v>0</v>
      </c>
      <c r="G62" s="61" t="n">
        <v>0.2</v>
      </c>
    </row>
    <row r="63" ht="15" customHeight="1" s="33">
      <c r="A63" s="60" t="n">
        <v>58</v>
      </c>
      <c r="B63" s="60" t="inlineStr">
        <is>
          <t>2 Minutos para la Medianoche</t>
        </is>
      </c>
      <c r="C63" s="60" t="n">
        <v>0.01167</v>
      </c>
      <c r="D63" s="60" t="n">
        <v>0</v>
      </c>
      <c r="E63" s="60" t="n">
        <v>0.0571</v>
      </c>
      <c r="F63" s="60" t="n">
        <v>0.0345</v>
      </c>
      <c r="G63" s="60" t="n">
        <v>0</v>
      </c>
    </row>
    <row r="64" ht="15" customHeight="1" s="33">
      <c r="A64" s="61" t="n">
        <v>59</v>
      </c>
      <c r="B64" s="61" t="inlineStr">
        <is>
          <t>Battles of the American Revolution Tri-Pack</t>
        </is>
      </c>
      <c r="C64" s="61" t="n">
        <v>0.009310000000000001</v>
      </c>
      <c r="D64" s="61" t="n">
        <v>0</v>
      </c>
      <c r="E64" s="61" t="n">
        <v>0</v>
      </c>
      <c r="F64" s="61" t="n">
        <v>0.1034</v>
      </c>
      <c r="G64" s="61" t="n">
        <v>0</v>
      </c>
    </row>
    <row r="65" ht="15" customHeight="1" s="33">
      <c r="A65" s="60" t="n">
        <v>60</v>
      </c>
      <c r="B65" s="60" t="inlineStr">
        <is>
          <t>Almoravid</t>
        </is>
      </c>
      <c r="C65" s="60" t="n">
        <v>0.009310000000000001</v>
      </c>
      <c r="D65" s="60" t="n">
        <v>0</v>
      </c>
      <c r="E65" s="60" t="n">
        <v>0</v>
      </c>
      <c r="F65" s="60" t="n">
        <v>0.1034</v>
      </c>
      <c r="G65" s="60" t="n">
        <v>0</v>
      </c>
    </row>
    <row r="66" ht="15" customHeight="1" s="33">
      <c r="A66" s="61" t="n">
        <v>61</v>
      </c>
      <c r="B66" s="61" t="inlineStr">
        <is>
          <t>Monty's Gamble: Market Garden</t>
        </is>
      </c>
      <c r="C66" s="61" t="n">
        <v>0.009310000000000001</v>
      </c>
      <c r="D66" s="61" t="n">
        <v>0</v>
      </c>
      <c r="E66" s="61" t="n">
        <v>0</v>
      </c>
      <c r="F66" s="61" t="n">
        <v>0.1034</v>
      </c>
      <c r="G66" s="61" t="n">
        <v>0</v>
      </c>
    </row>
    <row r="67" ht="15" customHeight="1" s="33">
      <c r="A67" s="60" t="n">
        <v>62</v>
      </c>
      <c r="B67" s="60" t="inlineStr">
        <is>
          <t>Founding Fathers</t>
        </is>
      </c>
      <c r="C67" s="60" t="n">
        <v>0.009310000000000001</v>
      </c>
      <c r="D67" s="60" t="n">
        <v>0</v>
      </c>
      <c r="E67" s="60" t="n">
        <v>0</v>
      </c>
      <c r="F67" s="60" t="n">
        <v>0.1034</v>
      </c>
      <c r="G67" s="60" t="n">
        <v>0</v>
      </c>
    </row>
    <row r="68" ht="15" customHeight="1" s="33">
      <c r="A68" s="61" t="n">
        <v>63</v>
      </c>
      <c r="B68" s="61" t="inlineStr">
        <is>
          <t>Crisis 1914</t>
        </is>
      </c>
      <c r="C68" s="61" t="n">
        <v>0.00856</v>
      </c>
      <c r="D68" s="61" t="n">
        <v>0</v>
      </c>
      <c r="E68" s="61" t="n">
        <v>0.0571</v>
      </c>
      <c r="F68" s="61" t="n">
        <v>0</v>
      </c>
      <c r="G68" s="61" t="n">
        <v>0</v>
      </c>
    </row>
    <row r="69" ht="15" customHeight="1" s="33">
      <c r="A69" s="60" t="n">
        <v>64</v>
      </c>
      <c r="B69" s="60" t="inlineStr">
        <is>
          <t>Rostov (Serie SCS)</t>
        </is>
      </c>
      <c r="C69" s="60" t="n">
        <v>0.00856</v>
      </c>
      <c r="D69" s="60" t="n">
        <v>0</v>
      </c>
      <c r="E69" s="60" t="n">
        <v>0.0571</v>
      </c>
      <c r="F69" s="60" t="n">
        <v>0</v>
      </c>
      <c r="G69" s="60" t="n">
        <v>0</v>
      </c>
    </row>
    <row r="70" ht="15" customHeight="1" s="33">
      <c r="A70" s="61" t="n">
        <v>65</v>
      </c>
      <c r="B70" s="61" t="inlineStr">
        <is>
          <t>Valley of Tears</t>
        </is>
      </c>
      <c r="C70" s="61" t="n">
        <v>0.00856</v>
      </c>
      <c r="D70" s="61" t="n">
        <v>0</v>
      </c>
      <c r="E70" s="61" t="n">
        <v>0.0571</v>
      </c>
      <c r="F70" s="61" t="n">
        <v>0</v>
      </c>
      <c r="G70" s="61" t="n">
        <v>0</v>
      </c>
    </row>
    <row r="71" ht="15" customHeight="1" s="33">
      <c r="A71" s="60" t="n">
        <v>66</v>
      </c>
      <c r="B71" s="60" t="inlineStr">
        <is>
          <t>Little Round Top</t>
        </is>
      </c>
      <c r="C71" s="60" t="n">
        <v>0.00856</v>
      </c>
      <c r="D71" s="60" t="n">
        <v>0</v>
      </c>
      <c r="E71" s="60" t="n">
        <v>0.0571</v>
      </c>
      <c r="F71" s="60" t="n">
        <v>0</v>
      </c>
      <c r="G71" s="60" t="n">
        <v>0</v>
      </c>
    </row>
    <row r="72" ht="15" customHeight="1" s="33">
      <c r="A72" s="61" t="n">
        <v>67</v>
      </c>
      <c r="B72" s="61" t="inlineStr">
        <is>
          <t>Red Dust Rebellion</t>
        </is>
      </c>
      <c r="C72" s="61" t="n">
        <v>0.00856</v>
      </c>
      <c r="D72" s="61" t="n">
        <v>0</v>
      </c>
      <c r="E72" s="61" t="n">
        <v>0.0571</v>
      </c>
      <c r="F72" s="61" t="n">
        <v>0</v>
      </c>
      <c r="G72" s="61" t="n">
        <v>0</v>
      </c>
    </row>
    <row r="73" ht="15" customHeight="1" s="33">
      <c r="A73" s="60" t="n">
        <v>68</v>
      </c>
      <c r="B73" s="60" t="inlineStr">
        <is>
          <t>Carrier Battle: Philippine Sea</t>
        </is>
      </c>
      <c r="C73" s="60" t="n">
        <v>0.00856</v>
      </c>
      <c r="D73" s="60" t="n">
        <v>0</v>
      </c>
      <c r="E73" s="60" t="n">
        <v>0.0571</v>
      </c>
      <c r="F73" s="60" t="n">
        <v>0</v>
      </c>
      <c r="G73" s="60" t="n">
        <v>0</v>
      </c>
    </row>
    <row r="74" ht="15" customHeight="1" s="33">
      <c r="A74" s="61" t="n">
        <v>69</v>
      </c>
      <c r="B74" s="61" t="inlineStr">
        <is>
          <t>ASL Starter kit 1</t>
        </is>
      </c>
      <c r="C74" s="61" t="n">
        <v>0.00856</v>
      </c>
      <c r="D74" s="61" t="n">
        <v>0</v>
      </c>
      <c r="E74" s="61" t="n">
        <v>0.0571</v>
      </c>
      <c r="F74" s="61" t="n">
        <v>0</v>
      </c>
      <c r="G74" s="61" t="n">
        <v>0</v>
      </c>
    </row>
    <row r="75" ht="15" customHeight="1" s="33">
      <c r="A75" s="60" t="n">
        <v>70</v>
      </c>
      <c r="B75" s="60" t="inlineStr">
        <is>
          <t>Warfighter WWII</t>
        </is>
      </c>
      <c r="C75" s="60" t="n">
        <v>0.008</v>
      </c>
      <c r="D75" s="60" t="n">
        <v>0</v>
      </c>
      <c r="E75" s="60" t="n">
        <v>0</v>
      </c>
      <c r="F75" s="60" t="n">
        <v>0</v>
      </c>
      <c r="G75" s="60" t="n">
        <v>0.1333</v>
      </c>
    </row>
    <row r="76" ht="15" customHeight="1" s="33">
      <c r="A76" s="61" t="n">
        <v>71</v>
      </c>
      <c r="B76" s="61" t="inlineStr">
        <is>
          <t>Una Guerra Imposible</t>
        </is>
      </c>
      <c r="C76" s="61" t="n">
        <v>0.008</v>
      </c>
      <c r="D76" s="61" t="n">
        <v>0</v>
      </c>
      <c r="E76" s="61" t="n">
        <v>0</v>
      </c>
      <c r="F76" s="61" t="n">
        <v>0</v>
      </c>
      <c r="G76" s="61" t="n">
        <v>0.1333</v>
      </c>
    </row>
    <row r="77" ht="15" customHeight="1" s="33">
      <c r="A77" s="60" t="n">
        <v>72</v>
      </c>
      <c r="B77" s="60" t="inlineStr">
        <is>
          <t>Combat! Eastern Front</t>
        </is>
      </c>
      <c r="C77" s="60" t="n">
        <v>0.00621</v>
      </c>
      <c r="D77" s="60" t="n">
        <v>0</v>
      </c>
      <c r="E77" s="60" t="n">
        <v>0</v>
      </c>
      <c r="F77" s="60" t="n">
        <v>0.06900000000000001</v>
      </c>
      <c r="G77" s="60" t="n">
        <v>0</v>
      </c>
    </row>
    <row r="78" ht="15" customHeight="1" s="33">
      <c r="A78" s="61" t="n">
        <v>73</v>
      </c>
      <c r="B78" s="61" t="inlineStr">
        <is>
          <t>The Shores of Tripoli</t>
        </is>
      </c>
      <c r="C78" s="61" t="n">
        <v>0.00621</v>
      </c>
      <c r="D78" s="61" t="n">
        <v>0</v>
      </c>
      <c r="E78" s="61" t="n">
        <v>0</v>
      </c>
      <c r="F78" s="61" t="n">
        <v>0.06900000000000001</v>
      </c>
      <c r="G78" s="61" t="n">
        <v>0</v>
      </c>
    </row>
    <row r="79" ht="15" customHeight="1" s="33">
      <c r="A79" s="60" t="n">
        <v>74</v>
      </c>
      <c r="B79" s="60" t="inlineStr">
        <is>
          <t>Axis Empires: Ultimate Edition</t>
        </is>
      </c>
      <c r="C79" s="60" t="n">
        <v>0.00621</v>
      </c>
      <c r="D79" s="60" t="n">
        <v>0</v>
      </c>
      <c r="E79" s="60" t="n">
        <v>0</v>
      </c>
      <c r="F79" s="60" t="n">
        <v>0.06900000000000001</v>
      </c>
      <c r="G79" s="60" t="n">
        <v>0</v>
      </c>
    </row>
    <row r="80" ht="15" customHeight="1" s="33">
      <c r="A80" s="61" t="n">
        <v>75</v>
      </c>
      <c r="B80" s="61" t="inlineStr">
        <is>
          <t>Undaunted: Callisto</t>
        </is>
      </c>
      <c r="C80" s="61" t="n">
        <v>0.00621</v>
      </c>
      <c r="D80" s="61" t="n">
        <v>0</v>
      </c>
      <c r="E80" s="61" t="n">
        <v>0</v>
      </c>
      <c r="F80" s="61" t="n">
        <v>0.06900000000000001</v>
      </c>
      <c r="G80" s="61" t="n">
        <v>0</v>
      </c>
    </row>
    <row r="81" ht="15" customHeight="1" s="33">
      <c r="A81" s="60" t="n">
        <v>76</v>
      </c>
      <c r="B81" s="60" t="inlineStr">
        <is>
          <t>Operación Bollebank</t>
        </is>
      </c>
      <c r="C81" s="60" t="n">
        <v>0.00429</v>
      </c>
      <c r="D81" s="60" t="n">
        <v>0</v>
      </c>
      <c r="E81" s="60" t="n">
        <v>0.0286</v>
      </c>
      <c r="F81" s="60" t="n">
        <v>0</v>
      </c>
      <c r="G81" s="60" t="n">
        <v>0</v>
      </c>
    </row>
    <row r="82" ht="15" customHeight="1" s="33">
      <c r="A82" s="61" t="n">
        <v>77</v>
      </c>
      <c r="B82" s="61" t="inlineStr">
        <is>
          <t>Enemy Action: Kharkov</t>
        </is>
      </c>
      <c r="C82" s="61" t="n">
        <v>0.00429</v>
      </c>
      <c r="D82" s="61" t="n">
        <v>0</v>
      </c>
      <c r="E82" s="61" t="n">
        <v>0.0286</v>
      </c>
      <c r="F82" s="61" t="n">
        <v>0</v>
      </c>
      <c r="G82" s="61" t="n">
        <v>0</v>
      </c>
    </row>
    <row r="83" ht="15" customHeight="1" s="33">
      <c r="A83" s="60" t="n">
        <v>78</v>
      </c>
      <c r="B83" s="60" t="inlineStr">
        <is>
          <t>Combat! Volumen 1</t>
        </is>
      </c>
      <c r="C83" s="60" t="n">
        <v>0.00429</v>
      </c>
      <c r="D83" s="60" t="n">
        <v>0</v>
      </c>
      <c r="E83" s="60" t="n">
        <v>0.0286</v>
      </c>
      <c r="F83" s="60" t="n">
        <v>0</v>
      </c>
      <c r="G83" s="60" t="n">
        <v>0</v>
      </c>
    </row>
    <row r="84" ht="15" customHeight="1" s="33">
      <c r="A84" s="61" t="n">
        <v>79</v>
      </c>
      <c r="B84" s="61" t="inlineStr">
        <is>
          <t>Poland Defiant: The German Invasion, September 1939</t>
        </is>
      </c>
      <c r="C84" s="61" t="n">
        <v>0.00429</v>
      </c>
      <c r="D84" s="61" t="n">
        <v>0</v>
      </c>
      <c r="E84" s="61" t="n">
        <v>0.0286</v>
      </c>
      <c r="F84" s="61" t="n">
        <v>0</v>
      </c>
      <c r="G84" s="61" t="n">
        <v>0</v>
      </c>
    </row>
    <row r="85" ht="15" customHeight="1" s="33">
      <c r="A85" s="60" t="n">
        <v>80</v>
      </c>
      <c r="B85" s="60" t="inlineStr">
        <is>
          <t>Maneuver Warfare</t>
        </is>
      </c>
      <c r="C85" s="60" t="n">
        <v>0.00429</v>
      </c>
      <c r="D85" s="60" t="n">
        <v>0</v>
      </c>
      <c r="E85" s="60" t="n">
        <v>0.0286</v>
      </c>
      <c r="F85" s="60" t="n">
        <v>0</v>
      </c>
      <c r="G85" s="60" t="n">
        <v>0</v>
      </c>
    </row>
    <row r="86" ht="15" customHeight="1" s="33">
      <c r="A86" s="61" t="n">
        <v>81</v>
      </c>
      <c r="B86" s="61" t="inlineStr">
        <is>
          <t>By Iron and Blood</t>
        </is>
      </c>
      <c r="C86" s="61" t="n">
        <v>0.00429</v>
      </c>
      <c r="D86" s="61" t="n">
        <v>0</v>
      </c>
      <c r="E86" s="61" t="n">
        <v>0.0286</v>
      </c>
      <c r="F86" s="61" t="n">
        <v>0</v>
      </c>
      <c r="G86" s="61" t="n">
        <v>0</v>
      </c>
    </row>
    <row r="87" ht="15" customHeight="1" s="33">
      <c r="A87" s="60" t="n">
        <v>82</v>
      </c>
      <c r="B87" s="60" t="inlineStr">
        <is>
          <t>RAF</t>
        </is>
      </c>
      <c r="C87" s="60" t="n">
        <v>0.00429</v>
      </c>
      <c r="D87" s="60" t="n">
        <v>0</v>
      </c>
      <c r="E87" s="60" t="n">
        <v>0.0286</v>
      </c>
      <c r="F87" s="60" t="n">
        <v>0</v>
      </c>
      <c r="G87" s="60" t="n">
        <v>0</v>
      </c>
    </row>
    <row r="88" ht="15" customHeight="1" s="33">
      <c r="A88" s="61" t="n">
        <v>83</v>
      </c>
      <c r="B88" s="61" t="inlineStr">
        <is>
          <t>Band of Brothers Screaming Eagles</t>
        </is>
      </c>
      <c r="C88" s="61" t="n">
        <v>0.00429</v>
      </c>
      <c r="D88" s="61" t="n">
        <v>0</v>
      </c>
      <c r="E88" s="61" t="n">
        <v>0.0286</v>
      </c>
      <c r="F88" s="61" t="n">
        <v>0</v>
      </c>
      <c r="G88" s="61" t="n">
        <v>0</v>
      </c>
    </row>
    <row r="89" ht="15" customHeight="1" s="33">
      <c r="A89" s="60" t="n">
        <v>84</v>
      </c>
      <c r="B89" s="60" t="inlineStr">
        <is>
          <t>Héroes Of Normandie</t>
        </is>
      </c>
      <c r="C89" s="60" t="n">
        <v>0.00429</v>
      </c>
      <c r="D89" s="60" t="n">
        <v>0</v>
      </c>
      <c r="E89" s="60" t="n">
        <v>0.0286</v>
      </c>
      <c r="F89" s="60" t="n">
        <v>0</v>
      </c>
      <c r="G89" s="60" t="n">
        <v>0</v>
      </c>
    </row>
    <row r="90" ht="15" customHeight="1" s="33">
      <c r="A90" s="61" t="n">
        <v>85</v>
      </c>
      <c r="B90" s="61" t="inlineStr">
        <is>
          <t>Battle Commander: Volume I</t>
        </is>
      </c>
      <c r="C90" s="61" t="n">
        <v>0.00429</v>
      </c>
      <c r="D90" s="61" t="n">
        <v>0</v>
      </c>
      <c r="E90" s="61" t="n">
        <v>0.0286</v>
      </c>
      <c r="F90" s="61" t="n">
        <v>0</v>
      </c>
      <c r="G90" s="61" t="n">
        <v>0</v>
      </c>
    </row>
    <row r="91" ht="15" customHeight="1" s="33">
      <c r="A91" s="60" t="n">
        <v>86</v>
      </c>
      <c r="B91" s="60" t="inlineStr">
        <is>
          <t>The Rock of Chickamauga</t>
        </is>
      </c>
      <c r="C91" s="60" t="n">
        <v>0.004</v>
      </c>
      <c r="D91" s="60" t="n">
        <v>0</v>
      </c>
      <c r="E91" s="60" t="n">
        <v>0</v>
      </c>
      <c r="F91" s="60" t="n">
        <v>0</v>
      </c>
      <c r="G91" s="60" t="n">
        <v>0.0667</v>
      </c>
    </row>
    <row r="92" ht="15" customHeight="1" s="33">
      <c r="A92" s="61" t="n">
        <v>87</v>
      </c>
      <c r="B92" s="61" t="inlineStr">
        <is>
          <t>Gunslinger</t>
        </is>
      </c>
      <c r="C92" s="61" t="n">
        <v>0.0031</v>
      </c>
      <c r="D92" s="61" t="n">
        <v>0</v>
      </c>
      <c r="E92" s="61" t="n">
        <v>0</v>
      </c>
      <c r="F92" s="61" t="n">
        <v>0.0345</v>
      </c>
      <c r="G92" s="61" t="n">
        <v>0</v>
      </c>
    </row>
    <row r="93" ht="15" customHeight="1" s="33">
      <c r="A93" s="60" t="n">
        <v>88</v>
      </c>
      <c r="B93" s="60" t="inlineStr">
        <is>
          <t>El Otro Lado de la Colina</t>
        </is>
      </c>
      <c r="C93" s="60" t="n">
        <v>0.0031</v>
      </c>
      <c r="D93" s="60" t="n">
        <v>0</v>
      </c>
      <c r="E93" s="60" t="n">
        <v>0</v>
      </c>
      <c r="F93" s="60" t="n">
        <v>0.0345</v>
      </c>
      <c r="G93" s="60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P14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8" customWidth="1" style="32" min="1" max="1"/>
    <col width="8" customWidth="1" style="32" min="2" max="13"/>
    <col width="10" customWidth="1" style="32" min="14" max="14"/>
    <col width="11" customWidth="1" style="32" min="15" max="15"/>
    <col width="8" customWidth="1" style="32" min="16" max="16"/>
  </cols>
  <sheetData>
    <row r="1" ht="17.35" customHeight="1" s="33">
      <c r="A1" s="34" t="inlineStr">
        <is>
          <t>HISTÓRICO VIS BÉLICA (wargames, criterio estricto) — 2026</t>
        </is>
      </c>
    </row>
    <row r="2" ht="15" customHeight="1" s="33">
      <c r="A2" s="35" t="inlineStr">
        <is>
          <t>Normalizado = puntos / votantes con wargame ese mes. POWER = 0,7×actual + 0,3×(0,5×m-1 + 0,3×m-2 + 0,2×m-3) | Acumulado 2026 = suma de normalizados mensuales</t>
        </is>
      </c>
    </row>
    <row r="4" ht="15" customHeight="1" s="33">
      <c r="A4" s="37" t="inlineStr">
        <is>
          <t>Juego</t>
        </is>
      </c>
      <c r="B4" s="37" t="inlineStr">
        <is>
          <t>Ene</t>
        </is>
      </c>
      <c r="C4" s="37" t="inlineStr">
        <is>
          <t>Feb</t>
        </is>
      </c>
      <c r="D4" s="37" t="inlineStr">
        <is>
          <t>Mar</t>
        </is>
      </c>
      <c r="E4" s="37" t="inlineStr">
        <is>
          <t>Abr</t>
        </is>
      </c>
      <c r="F4" s="37" t="inlineStr">
        <is>
          <t>May</t>
        </is>
      </c>
      <c r="G4" s="37" t="inlineStr">
        <is>
          <t>Jun</t>
        </is>
      </c>
      <c r="H4" s="37" t="inlineStr">
        <is>
          <t>Jul</t>
        </is>
      </c>
      <c r="I4" s="37" t="inlineStr">
        <is>
          <t>Ago</t>
        </is>
      </c>
      <c r="J4" s="37" t="inlineStr">
        <is>
          <t>Sep</t>
        </is>
      </c>
      <c r="K4" s="37" t="inlineStr">
        <is>
          <t>Oct</t>
        </is>
      </c>
      <c r="L4" s="37" t="inlineStr">
        <is>
          <t>Nov</t>
        </is>
      </c>
      <c r="M4" s="37" t="inlineStr">
        <is>
          <t>Dic</t>
        </is>
      </c>
      <c r="N4" s="37" t="inlineStr">
        <is>
          <t>POWER</t>
        </is>
      </c>
      <c r="O4" s="37" t="inlineStr">
        <is>
          <t>ACUMULADO 2026</t>
        </is>
      </c>
      <c r="P4" s="37" t="inlineStr">
        <is>
          <t>Meses</t>
        </is>
      </c>
    </row>
    <row r="5" ht="15" customHeight="1" s="33">
      <c r="A5" s="36" t="inlineStr">
        <is>
          <t>Votantes con wargame</t>
        </is>
      </c>
      <c r="B5" s="36" t="n"/>
      <c r="C5" s="36" t="n"/>
      <c r="D5" s="36" t="n">
        <v>19</v>
      </c>
      <c r="E5" s="36" t="n">
        <v>34</v>
      </c>
      <c r="F5" s="36" t="n">
        <v>40</v>
      </c>
      <c r="G5" s="36" t="n">
        <v>52</v>
      </c>
      <c r="H5" s="36" t="n">
        <v>44</v>
      </c>
      <c r="I5" s="36" t="n">
        <v>64</v>
      </c>
      <c r="J5" s="36" t="n"/>
      <c r="K5" s="36" t="n"/>
      <c r="L5" s="36" t="n"/>
      <c r="M5" s="36" t="n"/>
    </row>
    <row r="6" ht="15" customHeight="1" s="33">
      <c r="A6" s="45" t="inlineStr">
        <is>
          <t>D-Day at Omaha Beach</t>
        </is>
      </c>
      <c r="B6" s="45" t="n"/>
      <c r="C6" s="45" t="n"/>
      <c r="D6" s="45" t="n">
        <v>0.6316000000000001</v>
      </c>
      <c r="E6" s="45" t="n">
        <v>0.2941</v>
      </c>
      <c r="F6" s="45" t="n">
        <v>0.55</v>
      </c>
      <c r="G6" s="45" t="n">
        <v>0.4423</v>
      </c>
      <c r="H6" s="45" t="n">
        <v>0.3636</v>
      </c>
      <c r="I6" s="45" t="n">
        <v>0.3594</v>
      </c>
      <c r="J6" s="45" t="n"/>
      <c r="K6" s="45" t="n"/>
      <c r="L6" s="45" t="n"/>
      <c r="M6" s="45" t="n"/>
      <c r="N6" s="45">
        <f>0.7*IF(I6="",0,I6)+0.3*(0.5*IF(H6="",0,H6)+0.3*IF(G6="",0,G6)+0.2*IF(F6="",0,F6))</f>
        <v/>
      </c>
      <c r="O6" s="45">
        <f>SUM(B6:M6)</f>
        <v/>
      </c>
      <c r="P6" s="45">
        <f>COUNTA(B6:M6)</f>
        <v/>
      </c>
    </row>
    <row r="7" ht="15" customHeight="1" s="33">
      <c r="A7" s="43" t="inlineStr">
        <is>
          <t>Fields of Fire</t>
        </is>
      </c>
      <c r="B7" s="43" t="n"/>
      <c r="C7" s="43" t="n"/>
      <c r="D7" s="43" t="n"/>
      <c r="E7" s="43" t="n"/>
      <c r="F7" s="43" t="n">
        <v>0.05</v>
      </c>
      <c r="G7" s="43" t="n">
        <v>0.1154</v>
      </c>
      <c r="H7" s="43" t="n">
        <v>0.0682</v>
      </c>
      <c r="I7" s="43" t="n">
        <v>0.2656</v>
      </c>
      <c r="J7" s="43" t="n"/>
      <c r="K7" s="43" t="n"/>
      <c r="L7" s="43" t="n"/>
      <c r="M7" s="43" t="n"/>
      <c r="N7" s="43">
        <f>0.7*IF(I7="",0,I7)+0.3*(0.5*IF(H7="",0,H7)+0.3*IF(G7="",0,G7)+0.2*IF(F7="",0,F7))</f>
        <v/>
      </c>
      <c r="O7" s="43">
        <f>SUM(B7:M7)</f>
        <v/>
      </c>
      <c r="P7" s="43">
        <f>COUNTA(B7:M7)</f>
        <v/>
      </c>
    </row>
    <row r="8" ht="15" customHeight="1" s="33">
      <c r="A8" s="45" t="inlineStr">
        <is>
          <t>Guerra del Anillo</t>
        </is>
      </c>
      <c r="B8" s="45" t="n"/>
      <c r="C8" s="45" t="n"/>
      <c r="D8" s="45" t="n">
        <v>0.1053</v>
      </c>
      <c r="E8" s="45" t="n">
        <v>0.2647</v>
      </c>
      <c r="F8" s="45" t="n">
        <v>0.225</v>
      </c>
      <c r="G8" s="45" t="n">
        <v>0.0577</v>
      </c>
      <c r="H8" s="45" t="n">
        <v>0.2727</v>
      </c>
      <c r="I8" s="45" t="n">
        <v>0.1562</v>
      </c>
      <c r="J8" s="45" t="n"/>
      <c r="K8" s="45" t="n"/>
      <c r="L8" s="45" t="n"/>
      <c r="M8" s="45" t="n"/>
      <c r="N8" s="45">
        <f>0.7*IF(I8="",0,I8)+0.3*(0.5*IF(H8="",0,H8)+0.3*IF(G8="",0,G8)+0.2*IF(F8="",0,F8))</f>
        <v/>
      </c>
      <c r="O8" s="45">
        <f>SUM(B8:M8)</f>
        <v/>
      </c>
      <c r="P8" s="45">
        <f>COUNTA(B8:M8)</f>
        <v/>
      </c>
    </row>
    <row r="9" ht="15" customHeight="1" s="33">
      <c r="A9" s="43" t="inlineStr">
        <is>
          <t>Thunderbolt: Deluxe Edition</t>
        </is>
      </c>
      <c r="B9" s="43" t="n"/>
      <c r="C9" s="43" t="n"/>
      <c r="D9" s="43" t="n"/>
      <c r="E9" s="43" t="n"/>
      <c r="F9" s="43" t="n">
        <v>0.05</v>
      </c>
      <c r="G9" s="43" t="n">
        <v>0.1346</v>
      </c>
      <c r="H9" s="43" t="n">
        <v>0.1364</v>
      </c>
      <c r="I9" s="43" t="n">
        <v>0.1406</v>
      </c>
      <c r="J9" s="43" t="n"/>
      <c r="K9" s="43" t="n"/>
      <c r="L9" s="43" t="n"/>
      <c r="M9" s="43" t="n"/>
      <c r="N9" s="43">
        <f>0.7*IF(I9="",0,I9)+0.3*(0.5*IF(H9="",0,H9)+0.3*IF(G9="",0,G9)+0.2*IF(F9="",0,F9))</f>
        <v/>
      </c>
      <c r="O9" s="43">
        <f>SUM(B9:M9)</f>
        <v/>
      </c>
      <c r="P9" s="43">
        <f>COUNTA(B9:M9)</f>
        <v/>
      </c>
    </row>
    <row r="10" ht="15" customHeight="1" s="33">
      <c r="A10" s="45" t="inlineStr">
        <is>
          <t>Imperial Struggle</t>
        </is>
      </c>
      <c r="B10" s="45" t="n"/>
      <c r="C10" s="45" t="n"/>
      <c r="D10" s="45" t="n"/>
      <c r="E10" s="45" t="n">
        <v>0.1471</v>
      </c>
      <c r="F10" s="45" t="n"/>
      <c r="G10" s="45" t="n">
        <v>0.0385</v>
      </c>
      <c r="H10" s="45" t="n"/>
      <c r="I10" s="45" t="n">
        <v>0.125</v>
      </c>
      <c r="J10" s="45" t="n"/>
      <c r="K10" s="45" t="n"/>
      <c r="L10" s="45" t="n"/>
      <c r="M10" s="45" t="n"/>
      <c r="N10" s="45">
        <f>0.7*IF(I10="",0,I10)+0.3*(0.5*IF(H10="",0,H10)+0.3*IF(G10="",0,G10)+0.2*IF(F10="",0,F10))</f>
        <v/>
      </c>
      <c r="O10" s="45">
        <f>SUM(B10:M10)</f>
        <v/>
      </c>
      <c r="P10" s="45">
        <f>COUNTA(B10:M10)</f>
        <v/>
      </c>
    </row>
    <row r="11" ht="15" customHeight="1" s="33">
      <c r="A11" s="43" t="inlineStr">
        <is>
          <t>Cruzada y Revolución</t>
        </is>
      </c>
      <c r="B11" s="43" t="n"/>
      <c r="C11" s="43" t="n"/>
      <c r="D11" s="43" t="n"/>
      <c r="E11" s="43" t="n">
        <v>0.0588</v>
      </c>
      <c r="F11" s="43" t="n"/>
      <c r="G11" s="43" t="n">
        <v>0.0385</v>
      </c>
      <c r="H11" s="43" t="n">
        <v>0.0455</v>
      </c>
      <c r="I11" s="43" t="n">
        <v>0.1094</v>
      </c>
      <c r="J11" s="43" t="n"/>
      <c r="K11" s="43" t="n"/>
      <c r="L11" s="43" t="n"/>
      <c r="M11" s="43" t="n"/>
      <c r="N11" s="43">
        <f>0.7*IF(I11="",0,I11)+0.3*(0.5*IF(H11="",0,H11)+0.3*IF(G11="",0,G11)+0.2*IF(F11="",0,F11))</f>
        <v/>
      </c>
      <c r="O11" s="43">
        <f>SUM(B11:M11)</f>
        <v/>
      </c>
      <c r="P11" s="43">
        <f>COUNTA(B11:M11)</f>
        <v/>
      </c>
    </row>
    <row r="12" ht="15" customHeight="1" s="33">
      <c r="A12" s="45" t="inlineStr">
        <is>
          <t>Cuius Regio</t>
        </is>
      </c>
      <c r="B12" s="45" t="n"/>
      <c r="C12" s="45" t="n"/>
      <c r="D12" s="45" t="n"/>
      <c r="E12" s="45" t="n">
        <v>0.0294</v>
      </c>
      <c r="F12" s="45" t="n"/>
      <c r="G12" s="45" t="n"/>
      <c r="H12" s="45" t="n">
        <v>0.25</v>
      </c>
      <c r="I12" s="45" t="n">
        <v>0.125</v>
      </c>
      <c r="J12" s="45" t="n"/>
      <c r="K12" s="45" t="n"/>
      <c r="L12" s="45" t="n"/>
      <c r="M12" s="45" t="n"/>
      <c r="N12" s="45">
        <f>0.7*IF(I12="",0,I12)+0.3*(0.5*IF(H12="",0,H12)+0.3*IF(G12="",0,G12)+0.2*IF(F12="",0,F12))</f>
        <v/>
      </c>
      <c r="O12" s="45">
        <f>SUM(B12:M12)</f>
        <v/>
      </c>
      <c r="P12" s="45">
        <f>COUNTA(B12:M12)</f>
        <v/>
      </c>
    </row>
    <row r="13" ht="15" customHeight="1" s="33">
      <c r="A13" s="43" t="inlineStr">
        <is>
          <t>Urban Operations</t>
        </is>
      </c>
      <c r="B13" s="43" t="n"/>
      <c r="C13" s="43" t="n"/>
      <c r="D13" s="43" t="n"/>
      <c r="E13" s="43" t="n"/>
      <c r="F13" s="43" t="n"/>
      <c r="G13" s="43" t="n">
        <v>0.09619999999999999</v>
      </c>
      <c r="H13" s="43" t="n"/>
      <c r="I13" s="43" t="n">
        <v>0.09379999999999999</v>
      </c>
      <c r="J13" s="43" t="n"/>
      <c r="K13" s="43" t="n"/>
      <c r="L13" s="43" t="n"/>
      <c r="M13" s="43" t="n"/>
      <c r="N13" s="43">
        <f>0.7*IF(I13="",0,I13)+0.3*(0.5*IF(H13="",0,H13)+0.3*IF(G13="",0,G13)+0.2*IF(F13="",0,F13))</f>
        <v/>
      </c>
      <c r="O13" s="43">
        <f>SUM(B13:M13)</f>
        <v/>
      </c>
      <c r="P13" s="43">
        <f>COUNTA(B13:M13)</f>
        <v/>
      </c>
    </row>
    <row r="14" ht="15" customHeight="1" s="33">
      <c r="A14" s="45" t="inlineStr">
        <is>
          <t>The russian campaign</t>
        </is>
      </c>
      <c r="B14" s="45" t="n"/>
      <c r="C14" s="45" t="n"/>
      <c r="D14" s="45" t="n"/>
      <c r="E14" s="45" t="n"/>
      <c r="F14" s="45" t="n">
        <v>0.05</v>
      </c>
      <c r="G14" s="45" t="n">
        <v>0.1346</v>
      </c>
      <c r="H14" s="45" t="n">
        <v>0.0455</v>
      </c>
      <c r="I14" s="45" t="n">
        <v>0.0625</v>
      </c>
      <c r="J14" s="45" t="n"/>
      <c r="K14" s="45" t="n"/>
      <c r="L14" s="45" t="n"/>
      <c r="M14" s="45" t="n"/>
      <c r="N14" s="45">
        <f>0.7*IF(I14="",0,I14)+0.3*(0.5*IF(H14="",0,H14)+0.3*IF(G14="",0,G14)+0.2*IF(F14="",0,F14))</f>
        <v/>
      </c>
      <c r="O14" s="45">
        <f>SUM(B14:M14)</f>
        <v/>
      </c>
      <c r="P14" s="45">
        <f>COUNTA(B14:M14)</f>
        <v/>
      </c>
    </row>
    <row r="15" ht="15" customHeight="1" s="33">
      <c r="A15" s="43" t="inlineStr">
        <is>
          <t>Combat Commander</t>
        </is>
      </c>
      <c r="B15" s="43" t="n"/>
      <c r="C15" s="43" t="n"/>
      <c r="D15" s="43" t="n">
        <v>0.0526</v>
      </c>
      <c r="E15" s="43" t="n"/>
      <c r="F15" s="43" t="n">
        <v>0.075</v>
      </c>
      <c r="G15" s="43" t="n">
        <v>0.1154</v>
      </c>
      <c r="H15" s="43" t="n"/>
      <c r="I15" s="43" t="n">
        <v>0.0781</v>
      </c>
      <c r="J15" s="43" t="n"/>
      <c r="K15" s="43" t="n"/>
      <c r="L15" s="43" t="n"/>
      <c r="M15" s="43" t="n"/>
      <c r="N15" s="43">
        <f>0.7*IF(I15="",0,I15)+0.3*(0.5*IF(H15="",0,H15)+0.3*IF(G15="",0,G15)+0.2*IF(F15="",0,F15))</f>
        <v/>
      </c>
      <c r="O15" s="43">
        <f>SUM(B15:M15)</f>
        <v/>
      </c>
      <c r="P15" s="43">
        <f>COUNTA(B15:M15)</f>
        <v/>
      </c>
    </row>
    <row r="16" ht="15" customHeight="1" s="33">
      <c r="A16" s="45" t="inlineStr">
        <is>
          <t>Burning Banners</t>
        </is>
      </c>
      <c r="B16" s="45" t="n"/>
      <c r="C16" s="45" t="n"/>
      <c r="D16" s="45" t="n">
        <v>0.3684</v>
      </c>
      <c r="E16" s="45" t="n">
        <v>0.1471</v>
      </c>
      <c r="F16" s="45" t="n">
        <v>0.2</v>
      </c>
      <c r="G16" s="45" t="n">
        <v>0.0769</v>
      </c>
      <c r="H16" s="45" t="n">
        <v>0.1136</v>
      </c>
      <c r="I16" s="45" t="n">
        <v>0.09379999999999999</v>
      </c>
      <c r="J16" s="45" t="n"/>
      <c r="K16" s="45" t="n"/>
      <c r="L16" s="45" t="n"/>
      <c r="M16" s="45" t="n"/>
      <c r="N16" s="45">
        <f>0.7*IF(I16="",0,I16)+0.3*(0.5*IF(H16="",0,H16)+0.3*IF(G16="",0,G16)+0.2*IF(F16="",0,F16))</f>
        <v/>
      </c>
      <c r="O16" s="45">
        <f>SUM(B16:M16)</f>
        <v/>
      </c>
      <c r="P16" s="45">
        <f>COUNTA(B16:M16)</f>
        <v/>
      </c>
    </row>
    <row r="17" ht="15" customHeight="1" s="33">
      <c r="A17" s="43" t="inlineStr">
        <is>
          <t>Dune: War for Arrakis</t>
        </is>
      </c>
      <c r="B17" s="43" t="n"/>
      <c r="C17" s="43" t="n"/>
      <c r="D17" s="43" t="n">
        <v>0.2105</v>
      </c>
      <c r="E17" s="43" t="n">
        <v>0.1176</v>
      </c>
      <c r="F17" s="43" t="n">
        <v>0.025</v>
      </c>
      <c r="G17" s="43" t="n"/>
      <c r="H17" s="43" t="n">
        <v>0.1818</v>
      </c>
      <c r="I17" s="43" t="n">
        <v>0.0312</v>
      </c>
      <c r="J17" s="43" t="n"/>
      <c r="K17" s="43" t="n"/>
      <c r="L17" s="43" t="n"/>
      <c r="M17" s="43" t="n"/>
      <c r="N17" s="43">
        <f>0.7*IF(I17="",0,I17)+0.3*(0.5*IF(H17="",0,H17)+0.3*IF(G17="",0,G17)+0.2*IF(F17="",0,F17))</f>
        <v/>
      </c>
      <c r="O17" s="43">
        <f>SUM(B17:M17)</f>
        <v/>
      </c>
      <c r="P17" s="43">
        <f>COUNTA(B17:M17)</f>
        <v/>
      </c>
    </row>
    <row r="18" ht="15" customHeight="1" s="33">
      <c r="A18" s="45" t="inlineStr">
        <is>
          <t>Asturias 1936-1937</t>
        </is>
      </c>
      <c r="B18" s="45" t="n"/>
      <c r="C18" s="45" t="n"/>
      <c r="D18" s="45" t="n"/>
      <c r="E18" s="45" t="n"/>
      <c r="F18" s="45" t="n"/>
      <c r="G18" s="45" t="n">
        <v>0.1538</v>
      </c>
      <c r="H18" s="45" t="n"/>
      <c r="I18" s="45" t="n">
        <v>0.0469</v>
      </c>
      <c r="J18" s="45" t="n"/>
      <c r="K18" s="45" t="n"/>
      <c r="L18" s="45" t="n"/>
      <c r="M18" s="45" t="n"/>
      <c r="N18" s="45">
        <f>0.7*IF(I18="",0,I18)+0.3*(0.5*IF(H18="",0,H18)+0.3*IF(G18="",0,G18)+0.2*IF(F18="",0,F18))</f>
        <v/>
      </c>
      <c r="O18" s="45">
        <f>SUM(B18:M18)</f>
        <v/>
      </c>
      <c r="P18" s="45">
        <f>COUNTA(B18:M18)</f>
        <v/>
      </c>
    </row>
    <row r="19" ht="15" customHeight="1" s="33">
      <c r="A19" s="43" t="inlineStr">
        <is>
          <t>Washington's War</t>
        </is>
      </c>
      <c r="B19" s="43" t="n"/>
      <c r="C19" s="43" t="n"/>
      <c r="D19" s="43" t="n"/>
      <c r="E19" s="43" t="n"/>
      <c r="F19" s="43" t="n">
        <v>0.075</v>
      </c>
      <c r="G19" s="43" t="n">
        <v>0.0577</v>
      </c>
      <c r="H19" s="43" t="n">
        <v>0.0227</v>
      </c>
      <c r="I19" s="43" t="n">
        <v>0.0469</v>
      </c>
      <c r="J19" s="43" t="n"/>
      <c r="K19" s="43" t="n"/>
      <c r="L19" s="43" t="n"/>
      <c r="M19" s="43" t="n"/>
      <c r="N19" s="43">
        <f>0.7*IF(I19="",0,I19)+0.3*(0.5*IF(H19="",0,H19)+0.3*IF(G19="",0,G19)+0.2*IF(F19="",0,F19))</f>
        <v/>
      </c>
      <c r="O19" s="43">
        <f>SUM(B19:M19)</f>
        <v/>
      </c>
      <c r="P19" s="43">
        <f>COUNTA(B19:M19)</f>
        <v/>
      </c>
    </row>
    <row r="20" ht="15" customHeight="1" s="33">
      <c r="A20" s="45" t="inlineStr">
        <is>
          <t>Army of the Potomac</t>
        </is>
      </c>
      <c r="B20" s="45" t="n"/>
      <c r="C20" s="45" t="n"/>
      <c r="D20" s="45" t="n"/>
      <c r="E20" s="45" t="n"/>
      <c r="F20" s="45" t="n"/>
      <c r="G20" s="45" t="n">
        <v>0.0192</v>
      </c>
      <c r="H20" s="45" t="n">
        <v>0.0682</v>
      </c>
      <c r="I20" s="45" t="n">
        <v>0.0469</v>
      </c>
      <c r="J20" s="45" t="n"/>
      <c r="K20" s="45" t="n"/>
      <c r="L20" s="45" t="n"/>
      <c r="M20" s="45" t="n"/>
      <c r="N20" s="45">
        <f>0.7*IF(I20="",0,I20)+0.3*(0.5*IF(H20="",0,H20)+0.3*IF(G20="",0,G20)+0.2*IF(F20="",0,F20))</f>
        <v/>
      </c>
      <c r="O20" s="45">
        <f>SUM(B20:M20)</f>
        <v/>
      </c>
      <c r="P20" s="45">
        <f>COUNTA(B20:M20)</f>
        <v/>
      </c>
    </row>
    <row r="21" ht="15" customHeight="1" s="33">
      <c r="A21" s="43" t="inlineStr">
        <is>
          <t>Enemy Action: Kharkov</t>
        </is>
      </c>
      <c r="B21" s="43" t="n"/>
      <c r="C21" s="43" t="n"/>
      <c r="D21" s="43" t="n"/>
      <c r="E21" s="43" t="n"/>
      <c r="F21" s="43" t="n">
        <v>0.025</v>
      </c>
      <c r="G21" s="43" t="n"/>
      <c r="H21" s="43" t="n">
        <v>0.0682</v>
      </c>
      <c r="I21" s="43" t="n">
        <v>0.0469</v>
      </c>
      <c r="J21" s="43" t="n"/>
      <c r="K21" s="43" t="n"/>
      <c r="L21" s="43" t="n"/>
      <c r="M21" s="43" t="n"/>
      <c r="N21" s="43">
        <f>0.7*IF(I21="",0,I21)+0.3*(0.5*IF(H21="",0,H21)+0.3*IF(G21="",0,G21)+0.2*IF(F21="",0,F21))</f>
        <v/>
      </c>
      <c r="O21" s="43">
        <f>SUM(B21:M21)</f>
        <v/>
      </c>
      <c r="P21" s="43">
        <f>COUNTA(B21:M21)</f>
        <v/>
      </c>
    </row>
    <row r="22" ht="15" customHeight="1" s="33">
      <c r="A22" s="45" t="inlineStr">
        <is>
          <t>Operation Overlord</t>
        </is>
      </c>
      <c r="B22" s="45" t="n"/>
      <c r="C22" s="45" t="n"/>
      <c r="D22" s="45" t="n"/>
      <c r="E22" s="45" t="n"/>
      <c r="F22" s="45" t="n">
        <v>0.025</v>
      </c>
      <c r="G22" s="45" t="n">
        <v>0.1731</v>
      </c>
      <c r="H22" s="45" t="n">
        <v>0.0227</v>
      </c>
      <c r="I22" s="45" t="n">
        <v>0.0312</v>
      </c>
      <c r="J22" s="45" t="n"/>
      <c r="K22" s="45" t="n"/>
      <c r="L22" s="45" t="n"/>
      <c r="M22" s="45" t="n"/>
      <c r="N22" s="45">
        <f>0.7*IF(I22="",0,I22)+0.3*(0.5*IF(H22="",0,H22)+0.3*IF(G22="",0,G22)+0.2*IF(F22="",0,F22))</f>
        <v/>
      </c>
      <c r="O22" s="45">
        <f>SUM(B22:M22)</f>
        <v/>
      </c>
      <c r="P22" s="45">
        <f>COUNTA(B22:M22)</f>
        <v/>
      </c>
    </row>
    <row r="23" ht="15" customHeight="1" s="33">
      <c r="A23" s="43" t="inlineStr">
        <is>
          <t>Onus!</t>
        </is>
      </c>
      <c r="B23" s="43" t="n"/>
      <c r="C23" s="43" t="n"/>
      <c r="D23" s="43" t="n"/>
      <c r="E23" s="43" t="n"/>
      <c r="F23" s="43" t="n"/>
      <c r="G23" s="43" t="n">
        <v>0.0385</v>
      </c>
      <c r="H23" s="43" t="n">
        <v>0.0455</v>
      </c>
      <c r="I23" s="43" t="n">
        <v>0.0469</v>
      </c>
      <c r="J23" s="43" t="n"/>
      <c r="K23" s="43" t="n"/>
      <c r="L23" s="43" t="n"/>
      <c r="M23" s="43" t="n"/>
      <c r="N23" s="43">
        <f>0.7*IF(I23="",0,I23)+0.3*(0.5*IF(H23="",0,H23)+0.3*IF(G23="",0,G23)+0.2*IF(F23="",0,F23))</f>
        <v/>
      </c>
      <c r="O23" s="43">
        <f>SUM(B23:M23)</f>
        <v/>
      </c>
      <c r="P23" s="43">
        <f>COUNTA(B23:M23)</f>
        <v/>
      </c>
    </row>
    <row r="24" ht="15" customHeight="1" s="33">
      <c r="A24" s="45" t="inlineStr">
        <is>
          <t>For the People</t>
        </is>
      </c>
      <c r="B24" s="45" t="n"/>
      <c r="C24" s="45" t="n"/>
      <c r="D24" s="45" t="n"/>
      <c r="E24" s="45" t="n">
        <v>0.0294</v>
      </c>
      <c r="F24" s="45" t="n"/>
      <c r="G24" s="45" t="n"/>
      <c r="H24" s="45" t="n">
        <v>0.09089999999999999</v>
      </c>
      <c r="I24" s="45" t="n">
        <v>0.0625</v>
      </c>
      <c r="J24" s="45" t="n"/>
      <c r="K24" s="45" t="n"/>
      <c r="L24" s="45" t="n"/>
      <c r="M24" s="45" t="n"/>
      <c r="N24" s="45">
        <f>0.7*IF(I24="",0,I24)+0.3*(0.5*IF(H24="",0,H24)+0.3*IF(G24="",0,G24)+0.2*IF(F24="",0,F24))</f>
        <v/>
      </c>
      <c r="O24" s="45">
        <f>SUM(B24:M24)</f>
        <v/>
      </c>
      <c r="P24" s="45">
        <f>COUNTA(B24:M24)</f>
        <v/>
      </c>
    </row>
    <row r="25" ht="15" customHeight="1" s="33">
      <c r="A25" s="43" t="inlineStr">
        <is>
          <t>Holland 44</t>
        </is>
      </c>
      <c r="B25" s="43" t="n"/>
      <c r="C25" s="43" t="n"/>
      <c r="D25" s="43" t="n">
        <v>0.1579</v>
      </c>
      <c r="E25" s="43" t="n">
        <v>0.0588</v>
      </c>
      <c r="F25" s="43" t="n"/>
      <c r="G25" s="43" t="n">
        <v>0.0577</v>
      </c>
      <c r="H25" s="43" t="n"/>
      <c r="I25" s="43" t="n">
        <v>0.0625</v>
      </c>
      <c r="J25" s="43" t="n"/>
      <c r="K25" s="43" t="n"/>
      <c r="L25" s="43" t="n"/>
      <c r="M25" s="43" t="n"/>
      <c r="N25" s="43">
        <f>0.7*IF(I25="",0,I25)+0.3*(0.5*IF(H25="",0,H25)+0.3*IF(G25="",0,G25)+0.2*IF(F25="",0,F25))</f>
        <v/>
      </c>
      <c r="O25" s="43">
        <f>SUM(B25:M25)</f>
        <v/>
      </c>
      <c r="P25" s="43">
        <f>COUNTA(B25:M25)</f>
        <v/>
      </c>
    </row>
    <row r="26" ht="15" customHeight="1" s="33">
      <c r="A26" s="45" t="inlineStr">
        <is>
          <t>Quartermaster General: South Front</t>
        </is>
      </c>
      <c r="B26" s="45" t="n"/>
      <c r="C26" s="45" t="n"/>
      <c r="D26" s="45" t="n">
        <v>0.1579</v>
      </c>
      <c r="E26" s="45" t="n"/>
      <c r="F26" s="45" t="n"/>
      <c r="G26" s="45" t="n">
        <v>0.0385</v>
      </c>
      <c r="H26" s="45" t="n">
        <v>0.09089999999999999</v>
      </c>
      <c r="I26" s="45" t="n">
        <v>0.0312</v>
      </c>
      <c r="J26" s="45" t="n"/>
      <c r="K26" s="45" t="n"/>
      <c r="L26" s="45" t="n"/>
      <c r="M26" s="45" t="n"/>
      <c r="N26" s="45">
        <f>0.7*IF(I26="",0,I26)+0.3*(0.5*IF(H26="",0,H26)+0.3*IF(G26="",0,G26)+0.2*IF(F26="",0,F26))</f>
        <v/>
      </c>
      <c r="O26" s="45">
        <f>SUM(B26:M26)</f>
        <v/>
      </c>
      <c r="P26" s="45">
        <f>COUNTA(B26:M26)</f>
        <v/>
      </c>
    </row>
    <row r="27" ht="15" customHeight="1" s="33">
      <c r="A27" s="43" t="inlineStr">
        <is>
          <t>Pursuit of Glory</t>
        </is>
      </c>
      <c r="B27" s="43" t="n"/>
      <c r="C27" s="43" t="n"/>
      <c r="D27" s="43" t="n"/>
      <c r="E27" s="43" t="n"/>
      <c r="F27" s="43" t="n">
        <v>0.075</v>
      </c>
      <c r="G27" s="43" t="n">
        <v>0.0577</v>
      </c>
      <c r="H27" s="43" t="n">
        <v>0.0455</v>
      </c>
      <c r="I27" s="43" t="n">
        <v>0.0312</v>
      </c>
      <c r="J27" s="43" t="n"/>
      <c r="K27" s="43" t="n"/>
      <c r="L27" s="43" t="n"/>
      <c r="M27" s="43" t="n"/>
      <c r="N27" s="43">
        <f>0.7*IF(I27="",0,I27)+0.3*(0.5*IF(H27="",0,H27)+0.3*IF(G27="",0,G27)+0.2*IF(F27="",0,F27))</f>
        <v/>
      </c>
      <c r="O27" s="43">
        <f>SUM(B27:M27)</f>
        <v/>
      </c>
      <c r="P27" s="43">
        <f>COUNTA(B27:M27)</f>
        <v/>
      </c>
    </row>
    <row r="28" ht="15" customHeight="1" s="33">
      <c r="A28" s="45" t="inlineStr">
        <is>
          <t>Triumph and Tragedy</t>
        </is>
      </c>
      <c r="B28" s="45" t="n"/>
      <c r="C28" s="45" t="n"/>
      <c r="D28" s="45" t="n"/>
      <c r="E28" s="45" t="n">
        <v>0.1471</v>
      </c>
      <c r="F28" s="45" t="n">
        <v>0.05</v>
      </c>
      <c r="G28" s="45" t="n"/>
      <c r="H28" s="45" t="n">
        <v>0.0227</v>
      </c>
      <c r="I28" s="45" t="n">
        <v>0.0469</v>
      </c>
      <c r="J28" s="45" t="n"/>
      <c r="K28" s="45" t="n"/>
      <c r="L28" s="45" t="n"/>
      <c r="M28" s="45" t="n"/>
      <c r="N28" s="45">
        <f>0.7*IF(I28="",0,I28)+0.3*(0.5*IF(H28="",0,H28)+0.3*IF(G28="",0,G28)+0.2*IF(F28="",0,F28))</f>
        <v/>
      </c>
      <c r="O28" s="45">
        <f>SUM(B28:M28)</f>
        <v/>
      </c>
      <c r="P28" s="45">
        <f>COUNTA(B28:M28)</f>
        <v/>
      </c>
    </row>
    <row r="29" ht="15" customHeight="1" s="33">
      <c r="A29" s="43" t="inlineStr">
        <is>
          <t>Undaunted Stalingrad</t>
        </is>
      </c>
      <c r="B29" s="43" t="n"/>
      <c r="C29" s="43" t="n"/>
      <c r="D29" s="43" t="n"/>
      <c r="E29" s="43" t="n"/>
      <c r="F29" s="43" t="n"/>
      <c r="G29" s="43" t="n">
        <v>0.09619999999999999</v>
      </c>
      <c r="H29" s="43" t="n">
        <v>0.0455</v>
      </c>
      <c r="I29" s="43" t="n">
        <v>0.0312</v>
      </c>
      <c r="J29" s="43" t="n"/>
      <c r="K29" s="43" t="n"/>
      <c r="L29" s="43" t="n"/>
      <c r="M29" s="43" t="n"/>
      <c r="N29" s="43">
        <f>0.7*IF(I29="",0,I29)+0.3*(0.5*IF(H29="",0,H29)+0.3*IF(G29="",0,G29)+0.2*IF(F29="",0,F29))</f>
        <v/>
      </c>
      <c r="O29" s="43">
        <f>SUM(B29:M29)</f>
        <v/>
      </c>
      <c r="P29" s="43">
        <f>COUNTA(B29:M29)</f>
        <v/>
      </c>
    </row>
    <row r="30" ht="15" customHeight="1" s="33">
      <c r="A30" s="45" t="inlineStr">
        <is>
          <t>Close Quarters Battles: Waterloo</t>
        </is>
      </c>
      <c r="B30" s="45" t="n"/>
      <c r="C30" s="45" t="n"/>
      <c r="D30" s="45" t="n"/>
      <c r="E30" s="45" t="n"/>
      <c r="F30" s="45" t="n">
        <v>0.075</v>
      </c>
      <c r="G30" s="45" t="n"/>
      <c r="H30" s="45" t="n"/>
      <c r="I30" s="45" t="n">
        <v>0.0469</v>
      </c>
      <c r="J30" s="45" t="n"/>
      <c r="K30" s="45" t="n"/>
      <c r="L30" s="45" t="n"/>
      <c r="M30" s="45" t="n"/>
      <c r="N30" s="45">
        <f>0.7*IF(I30="",0,I30)+0.3*(0.5*IF(H30="",0,H30)+0.3*IF(G30="",0,G30)+0.2*IF(F30="",0,F30))</f>
        <v/>
      </c>
      <c r="O30" s="45">
        <f>SUM(B30:M30)</f>
        <v/>
      </c>
      <c r="P30" s="45">
        <f>COUNTA(B30:M30)</f>
        <v/>
      </c>
    </row>
    <row r="31" ht="15" customHeight="1" s="33">
      <c r="A31" s="43" t="inlineStr">
        <is>
          <t>El imperio del sol</t>
        </is>
      </c>
      <c r="B31" s="43" t="n"/>
      <c r="C31" s="43" t="n"/>
      <c r="D31" s="43" t="n"/>
      <c r="E31" s="43" t="n"/>
      <c r="F31" s="43" t="n">
        <v>0.075</v>
      </c>
      <c r="G31" s="43" t="n"/>
      <c r="H31" s="43" t="n"/>
      <c r="I31" s="43" t="n">
        <v>0.0469</v>
      </c>
      <c r="J31" s="43" t="n"/>
      <c r="K31" s="43" t="n"/>
      <c r="L31" s="43" t="n"/>
      <c r="M31" s="43" t="n"/>
      <c r="N31" s="43">
        <f>0.7*IF(I31="",0,I31)+0.3*(0.5*IF(H31="",0,H31)+0.3*IF(G31="",0,G31)+0.2*IF(F31="",0,F31))</f>
        <v/>
      </c>
      <c r="O31" s="43">
        <f>SUM(B31:M31)</f>
        <v/>
      </c>
      <c r="P31" s="43">
        <f>COUNTA(B31:M31)</f>
        <v/>
      </c>
    </row>
    <row r="32" ht="15" customHeight="1" s="33">
      <c r="A32" s="45" t="inlineStr">
        <is>
          <t>Commands &amp; Colors: Napoleonics</t>
        </is>
      </c>
      <c r="B32" s="45" t="n"/>
      <c r="C32" s="45" t="n"/>
      <c r="D32" s="45" t="n"/>
      <c r="E32" s="45" t="n"/>
      <c r="F32" s="45" t="n"/>
      <c r="G32" s="45" t="n">
        <v>0.0385</v>
      </c>
      <c r="H32" s="45" t="n">
        <v>0.0682</v>
      </c>
      <c r="I32" s="45" t="n">
        <v>0.0469</v>
      </c>
      <c r="J32" s="45" t="n"/>
      <c r="K32" s="45" t="n"/>
      <c r="L32" s="45" t="n"/>
      <c r="M32" s="45" t="n"/>
      <c r="N32" s="45">
        <f>0.7*IF(I32="",0,I32)+0.3*(0.5*IF(H32="",0,H32)+0.3*IF(G32="",0,G32)+0.2*IF(F32="",0,F32))</f>
        <v/>
      </c>
      <c r="O32" s="45">
        <f>SUM(B32:M32)</f>
        <v/>
      </c>
      <c r="P32" s="45">
        <f>COUNTA(B32:M32)</f>
        <v/>
      </c>
    </row>
    <row r="33" ht="15" customHeight="1" s="33">
      <c r="A33" s="43" t="inlineStr">
        <is>
          <t>Normandy 44</t>
        </is>
      </c>
      <c r="B33" s="43" t="n"/>
      <c r="C33" s="43" t="n"/>
      <c r="D33" s="43" t="n"/>
      <c r="E33" s="43" t="n"/>
      <c r="F33" s="43" t="n"/>
      <c r="G33" s="43" t="n">
        <v>0.0192</v>
      </c>
      <c r="H33" s="43" t="n"/>
      <c r="I33" s="43" t="n">
        <v>0.0469</v>
      </c>
      <c r="J33" s="43" t="n"/>
      <c r="K33" s="43" t="n"/>
      <c r="L33" s="43" t="n"/>
      <c r="M33" s="43" t="n"/>
      <c r="N33" s="43">
        <f>0.7*IF(I33="",0,I33)+0.3*(0.5*IF(H33="",0,H33)+0.3*IF(G33="",0,G33)+0.2*IF(F33="",0,F33))</f>
        <v/>
      </c>
      <c r="O33" s="43">
        <f>SUM(B33:M33)</f>
        <v/>
      </c>
      <c r="P33" s="43">
        <f>COUNTA(B33:M33)</f>
        <v/>
      </c>
    </row>
    <row r="34" ht="15" customHeight="1" s="33">
      <c r="A34" s="45" t="inlineStr">
        <is>
          <t>Three days of Gettysburg</t>
        </is>
      </c>
      <c r="B34" s="45" t="n"/>
      <c r="C34" s="45" t="n"/>
      <c r="D34" s="45" t="n"/>
      <c r="E34" s="45" t="n"/>
      <c r="F34" s="45" t="n"/>
      <c r="G34" s="45" t="n"/>
      <c r="H34" s="45" t="n">
        <v>0.0682</v>
      </c>
      <c r="I34" s="45" t="n">
        <v>0.0312</v>
      </c>
      <c r="J34" s="45" t="n"/>
      <c r="K34" s="45" t="n"/>
      <c r="L34" s="45" t="n"/>
      <c r="M34" s="45" t="n"/>
      <c r="N34" s="45">
        <f>0.7*IF(I34="",0,I34)+0.3*(0.5*IF(H34="",0,H34)+0.3*IF(G34="",0,G34)+0.2*IF(F34="",0,F34))</f>
        <v/>
      </c>
      <c r="O34" s="45">
        <f>SUM(B34:M34)</f>
        <v/>
      </c>
      <c r="P34" s="45">
        <f>COUNTA(B34:M34)</f>
        <v/>
      </c>
    </row>
    <row r="35" ht="15" customHeight="1" s="33">
      <c r="A35" s="43" t="inlineStr">
        <is>
          <t>Una Guerra Imposible</t>
        </is>
      </c>
      <c r="B35" s="43" t="n"/>
      <c r="C35" s="43" t="n"/>
      <c r="D35" s="43" t="n">
        <v>0.1053</v>
      </c>
      <c r="E35" s="43" t="n"/>
      <c r="F35" s="43" t="n"/>
      <c r="G35" s="43" t="n"/>
      <c r="H35" s="43" t="n"/>
      <c r="I35" s="43" t="n">
        <v>0.0469</v>
      </c>
      <c r="J35" s="43" t="n"/>
      <c r="K35" s="43" t="n"/>
      <c r="L35" s="43" t="n"/>
      <c r="M35" s="43" t="n"/>
      <c r="N35" s="43">
        <f>0.7*IF(I35="",0,I35)+0.3*(0.5*IF(H35="",0,H35)+0.3*IF(G35="",0,G35)+0.2*IF(F35="",0,F35))</f>
        <v/>
      </c>
      <c r="O35" s="43">
        <f>SUM(B35:M35)</f>
        <v/>
      </c>
      <c r="P35" s="43">
        <f>COUNTA(B35:M35)</f>
        <v/>
      </c>
    </row>
    <row r="36" ht="15" customHeight="1" s="33">
      <c r="A36" s="45" t="inlineStr">
        <is>
          <t>A Gest of Robin Hood</t>
        </is>
      </c>
      <c r="B36" s="45" t="n"/>
      <c r="C36" s="45" t="n"/>
      <c r="D36" s="45" t="n"/>
      <c r="E36" s="45" t="n"/>
      <c r="F36" s="45" t="n"/>
      <c r="G36" s="45" t="n"/>
      <c r="H36" s="45" t="n"/>
      <c r="I36" s="45" t="n">
        <v>0.0469</v>
      </c>
      <c r="J36" s="45" t="n"/>
      <c r="K36" s="45" t="n"/>
      <c r="L36" s="45" t="n"/>
      <c r="M36" s="45" t="n"/>
      <c r="N36" s="45">
        <f>0.7*IF(I36="",0,I36)+0.3*(0.5*IF(H36="",0,H36)+0.3*IF(G36="",0,G36)+0.2*IF(F36="",0,F36))</f>
        <v/>
      </c>
      <c r="O36" s="45">
        <f>SUM(B36:M36)</f>
        <v/>
      </c>
      <c r="P36" s="45">
        <f>COUNTA(B36:M36)</f>
        <v/>
      </c>
    </row>
    <row r="37" ht="15" customHeight="1" s="33">
      <c r="A37" s="43" t="inlineStr">
        <is>
          <t>Attrition of Souls</t>
        </is>
      </c>
      <c r="B37" s="43" t="n"/>
      <c r="C37" s="43" t="n"/>
      <c r="D37" s="43" t="n"/>
      <c r="E37" s="43" t="n"/>
      <c r="F37" s="43" t="n"/>
      <c r="G37" s="43" t="n"/>
      <c r="H37" s="43" t="n"/>
      <c r="I37" s="43" t="n">
        <v>0.0469</v>
      </c>
      <c r="J37" s="43" t="n"/>
      <c r="K37" s="43" t="n"/>
      <c r="L37" s="43" t="n"/>
      <c r="M37" s="43" t="n"/>
      <c r="N37" s="43">
        <f>0.7*IF(I37="",0,I37)+0.3*(0.5*IF(H37="",0,H37)+0.3*IF(G37="",0,G37)+0.2*IF(F37="",0,F37))</f>
        <v/>
      </c>
      <c r="O37" s="43">
        <f>SUM(B37:M37)</f>
        <v/>
      </c>
      <c r="P37" s="43">
        <f>COUNTA(B37:M37)</f>
        <v/>
      </c>
    </row>
    <row r="38" ht="15" customHeight="1" s="33">
      <c r="A38" s="45" t="inlineStr">
        <is>
          <t>Barbarians at the Gates</t>
        </is>
      </c>
      <c r="B38" s="45" t="n"/>
      <c r="C38" s="45" t="n"/>
      <c r="D38" s="45" t="n"/>
      <c r="E38" s="45" t="n"/>
      <c r="F38" s="45" t="n"/>
      <c r="G38" s="45" t="n"/>
      <c r="H38" s="45" t="n"/>
      <c r="I38" s="45" t="n">
        <v>0.0469</v>
      </c>
      <c r="J38" s="45" t="n"/>
      <c r="K38" s="45" t="n"/>
      <c r="L38" s="45" t="n"/>
      <c r="M38" s="45" t="n"/>
      <c r="N38" s="45">
        <f>0.7*IF(I38="",0,I38)+0.3*(0.5*IF(H38="",0,H38)+0.3*IF(G38="",0,G38)+0.2*IF(F38="",0,F38))</f>
        <v/>
      </c>
      <c r="O38" s="45">
        <f>SUM(B38:M38)</f>
        <v/>
      </c>
      <c r="P38" s="45">
        <f>COUNTA(B38:M38)</f>
        <v/>
      </c>
    </row>
    <row r="39" ht="15" customHeight="1" s="33">
      <c r="A39" s="43" t="inlineStr">
        <is>
          <t>Hispania</t>
        </is>
      </c>
      <c r="B39" s="43" t="n"/>
      <c r="C39" s="43" t="n"/>
      <c r="D39" s="43" t="n"/>
      <c r="E39" s="43" t="n"/>
      <c r="F39" s="43" t="n"/>
      <c r="G39" s="43" t="n"/>
      <c r="H39" s="43" t="n"/>
      <c r="I39" s="43" t="n">
        <v>0.0469</v>
      </c>
      <c r="J39" s="43" t="n"/>
      <c r="K39" s="43" t="n"/>
      <c r="L39" s="43" t="n"/>
      <c r="M39" s="43" t="n"/>
      <c r="N39" s="43">
        <f>0.7*IF(I39="",0,I39)+0.3*(0.5*IF(H39="",0,H39)+0.3*IF(G39="",0,G39)+0.2*IF(F39="",0,F39))</f>
        <v/>
      </c>
      <c r="O39" s="43">
        <f>SUM(B39:M39)</f>
        <v/>
      </c>
      <c r="P39" s="43">
        <f>COUNTA(B39:M39)</f>
        <v/>
      </c>
    </row>
    <row r="40" ht="15" customHeight="1" s="33">
      <c r="A40" s="45" t="inlineStr">
        <is>
          <t>Labyrinth</t>
        </is>
      </c>
      <c r="B40" s="45" t="n"/>
      <c r="C40" s="45" t="n"/>
      <c r="D40" s="45" t="n"/>
      <c r="E40" s="45" t="n"/>
      <c r="F40" s="45" t="n"/>
      <c r="G40" s="45" t="n"/>
      <c r="H40" s="45" t="n">
        <v>0.0227</v>
      </c>
      <c r="I40" s="45" t="n">
        <v>0.0469</v>
      </c>
      <c r="J40" s="45" t="n"/>
      <c r="K40" s="45" t="n"/>
      <c r="L40" s="45" t="n"/>
      <c r="M40" s="45" t="n"/>
      <c r="N40" s="45">
        <f>0.7*IF(I40="",0,I40)+0.3*(0.5*IF(H40="",0,H40)+0.3*IF(G40="",0,G40)+0.2*IF(F40="",0,F40))</f>
        <v/>
      </c>
      <c r="O40" s="45">
        <f>SUM(B40:M40)</f>
        <v/>
      </c>
      <c r="P40" s="45">
        <f>COUNTA(B40:M40)</f>
        <v/>
      </c>
    </row>
    <row r="41" ht="15" customHeight="1" s="33">
      <c r="A41" s="43" t="inlineStr">
        <is>
          <t>Phantom Fury</t>
        </is>
      </c>
      <c r="B41" s="43" t="n"/>
      <c r="C41" s="43" t="n"/>
      <c r="D41" s="43" t="n"/>
      <c r="E41" s="43" t="n">
        <v>0.0588</v>
      </c>
      <c r="F41" s="43" t="n"/>
      <c r="G41" s="43" t="n"/>
      <c r="H41" s="43" t="n"/>
      <c r="I41" s="43" t="n">
        <v>0.0469</v>
      </c>
      <c r="J41" s="43" t="n"/>
      <c r="K41" s="43" t="n"/>
      <c r="L41" s="43" t="n"/>
      <c r="M41" s="43" t="n"/>
      <c r="N41" s="43">
        <f>0.7*IF(I41="",0,I41)+0.3*(0.5*IF(H41="",0,H41)+0.3*IF(G41="",0,G41)+0.2*IF(F41="",0,F41))</f>
        <v/>
      </c>
      <c r="O41" s="43">
        <f>SUM(B41:M41)</f>
        <v/>
      </c>
      <c r="P41" s="43">
        <f>COUNTA(B41:M41)</f>
        <v/>
      </c>
    </row>
    <row r="42" ht="15" customHeight="1" s="33">
      <c r="A42" s="45" t="inlineStr">
        <is>
          <t>Stalingrad: The Savage Streets 1945</t>
        </is>
      </c>
      <c r="B42" s="45" t="n"/>
      <c r="C42" s="45" t="n"/>
      <c r="D42" s="45" t="n"/>
      <c r="E42" s="45" t="n"/>
      <c r="F42" s="45" t="n"/>
      <c r="G42" s="45" t="n"/>
      <c r="H42" s="45" t="n"/>
      <c r="I42" s="45" t="n">
        <v>0.0469</v>
      </c>
      <c r="J42" s="45" t="n"/>
      <c r="K42" s="45" t="n"/>
      <c r="L42" s="45" t="n"/>
      <c r="M42" s="45" t="n"/>
      <c r="N42" s="45">
        <f>0.7*IF(I42="",0,I42)+0.3*(0.5*IF(H42="",0,H42)+0.3*IF(G42="",0,G42)+0.2*IF(F42="",0,F42))</f>
        <v/>
      </c>
      <c r="O42" s="45">
        <f>SUM(B42:M42)</f>
        <v/>
      </c>
      <c r="P42" s="45">
        <f>COUNTA(B42:M42)</f>
        <v/>
      </c>
    </row>
    <row r="43" ht="15" customHeight="1" s="33">
      <c r="A43" s="43" t="inlineStr">
        <is>
          <t>Tanto Monta</t>
        </is>
      </c>
      <c r="B43" s="43" t="n"/>
      <c r="C43" s="43" t="n"/>
      <c r="D43" s="43" t="n"/>
      <c r="E43" s="43" t="n">
        <v>0.0294</v>
      </c>
      <c r="F43" s="43" t="n"/>
      <c r="G43" s="43" t="n"/>
      <c r="H43" s="43" t="n"/>
      <c r="I43" s="43" t="n">
        <v>0.0469</v>
      </c>
      <c r="J43" s="43" t="n"/>
      <c r="K43" s="43" t="n"/>
      <c r="L43" s="43" t="n"/>
      <c r="M43" s="43" t="n"/>
      <c r="N43" s="43">
        <f>0.7*IF(I43="",0,I43)+0.3*(0.5*IF(H43="",0,H43)+0.3*IF(G43="",0,G43)+0.2*IF(F43="",0,F43))</f>
        <v/>
      </c>
      <c r="O43" s="43">
        <f>SUM(B43:M43)</f>
        <v/>
      </c>
      <c r="P43" s="43">
        <f>COUNTA(B43:M43)</f>
        <v/>
      </c>
    </row>
    <row r="44" ht="15" customHeight="1" s="33">
      <c r="A44" s="45" t="inlineStr">
        <is>
          <t>Star Wars: La Batalla de Hoth</t>
        </is>
      </c>
      <c r="B44" s="45" t="n"/>
      <c r="C44" s="45" t="n"/>
      <c r="D44" s="45" t="n"/>
      <c r="E44" s="45" t="n">
        <v>0.2353</v>
      </c>
      <c r="F44" s="45" t="n"/>
      <c r="G44" s="45" t="n"/>
      <c r="H44" s="45" t="n">
        <v>0.0455</v>
      </c>
      <c r="I44" s="45" t="n">
        <v>0.0312</v>
      </c>
      <c r="J44" s="45" t="n"/>
      <c r="K44" s="45" t="n"/>
      <c r="L44" s="45" t="n"/>
      <c r="M44" s="45" t="n"/>
      <c r="N44" s="45">
        <f>0.7*IF(I44="",0,I44)+0.3*(0.5*IF(H44="",0,H44)+0.3*IF(G44="",0,G44)+0.2*IF(F44="",0,F44))</f>
        <v/>
      </c>
      <c r="O44" s="45">
        <f>SUM(B44:M44)</f>
        <v/>
      </c>
      <c r="P44" s="45">
        <f>COUNTA(B44:M44)</f>
        <v/>
      </c>
    </row>
    <row r="45" ht="15" customHeight="1" s="33">
      <c r="A45" s="43" t="inlineStr">
        <is>
          <t>Struggle of Empires</t>
        </is>
      </c>
      <c r="B45" s="43" t="n"/>
      <c r="C45" s="43" t="n"/>
      <c r="D45" s="43" t="n"/>
      <c r="E45" s="43" t="n">
        <v>0.0882</v>
      </c>
      <c r="F45" s="43" t="n"/>
      <c r="G45" s="43" t="n">
        <v>0.1538</v>
      </c>
      <c r="H45" s="43" t="n">
        <v>0.0682</v>
      </c>
      <c r="I45" s="43" t="n"/>
      <c r="J45" s="43" t="n"/>
      <c r="K45" s="43" t="n"/>
      <c r="L45" s="43" t="n"/>
      <c r="M45" s="43" t="n"/>
      <c r="N45" s="43">
        <f>0.7*IF(I45="",0,I45)+0.3*(0.5*IF(H45="",0,H45)+0.3*IF(G45="",0,G45)+0.2*IF(F45="",0,F45))</f>
        <v/>
      </c>
      <c r="O45" s="43">
        <f>SUM(B45:M45)</f>
        <v/>
      </c>
      <c r="P45" s="43">
        <f>COUNTA(B45:M45)</f>
        <v/>
      </c>
    </row>
    <row r="46" ht="15" customHeight="1" s="33">
      <c r="A46" s="45" t="inlineStr">
        <is>
          <t>Next War: Iran</t>
        </is>
      </c>
      <c r="B46" s="45" t="n"/>
      <c r="C46" s="45" t="n"/>
      <c r="D46" s="45" t="n"/>
      <c r="E46" s="45" t="n"/>
      <c r="F46" s="45" t="n"/>
      <c r="G46" s="45" t="n"/>
      <c r="H46" s="45" t="n">
        <v>0.0227</v>
      </c>
      <c r="I46" s="45" t="n">
        <v>0.0312</v>
      </c>
      <c r="J46" s="45" t="n"/>
      <c r="K46" s="45" t="n"/>
      <c r="L46" s="45" t="n"/>
      <c r="M46" s="45" t="n"/>
      <c r="N46" s="45">
        <f>0.7*IF(I46="",0,I46)+0.3*(0.5*IF(H46="",0,H46)+0.3*IF(G46="",0,G46)+0.2*IF(F46="",0,F46))</f>
        <v/>
      </c>
      <c r="O46" s="45">
        <f>SUM(B46:M46)</f>
        <v/>
      </c>
      <c r="P46" s="45">
        <f>COUNTA(B46:M46)</f>
        <v/>
      </c>
    </row>
    <row r="47" ht="15" customHeight="1" s="33">
      <c r="A47" s="43" t="inlineStr">
        <is>
          <t>Twilight Struggle</t>
        </is>
      </c>
      <c r="B47" s="43" t="n"/>
      <c r="C47" s="43" t="n"/>
      <c r="D47" s="43" t="n">
        <v>0.0526</v>
      </c>
      <c r="E47" s="43" t="n">
        <v>0.0882</v>
      </c>
      <c r="F47" s="43" t="n">
        <v>0.15</v>
      </c>
      <c r="G47" s="43" t="n">
        <v>0.1154</v>
      </c>
      <c r="H47" s="43" t="n">
        <v>0.0227</v>
      </c>
      <c r="I47" s="43" t="n"/>
      <c r="J47" s="43" t="n"/>
      <c r="K47" s="43" t="n"/>
      <c r="L47" s="43" t="n"/>
      <c r="M47" s="43" t="n"/>
      <c r="N47" s="43">
        <f>0.7*IF(I47="",0,I47)+0.3*(0.5*IF(H47="",0,H47)+0.3*IF(G47="",0,G47)+0.2*IF(F47="",0,F47))</f>
        <v/>
      </c>
      <c r="O47" s="43">
        <f>SUM(B47:M47)</f>
        <v/>
      </c>
      <c r="P47" s="43">
        <f>COUNTA(B47:M47)</f>
        <v/>
      </c>
    </row>
    <row r="48" ht="15" customHeight="1" s="33">
      <c r="A48" s="45" t="inlineStr">
        <is>
          <t>2 Minutos para la Medianoche</t>
        </is>
      </c>
      <c r="B48" s="45" t="n"/>
      <c r="C48" s="45" t="n"/>
      <c r="D48" s="45" t="n"/>
      <c r="E48" s="45" t="n">
        <v>0.0294</v>
      </c>
      <c r="F48" s="45" t="n">
        <v>0.05</v>
      </c>
      <c r="G48" s="45" t="n"/>
      <c r="H48" s="45" t="n"/>
      <c r="I48" s="45" t="n">
        <v>0.0312</v>
      </c>
      <c r="J48" s="45" t="n"/>
      <c r="K48" s="45" t="n"/>
      <c r="L48" s="45" t="n"/>
      <c r="M48" s="45" t="n"/>
      <c r="N48" s="45">
        <f>0.7*IF(I48="",0,I48)+0.3*(0.5*IF(H48="",0,H48)+0.3*IF(G48="",0,G48)+0.2*IF(F48="",0,F48))</f>
        <v/>
      </c>
      <c r="O48" s="45">
        <f>SUM(B48:M48)</f>
        <v/>
      </c>
      <c r="P48" s="45">
        <f>COUNTA(B48:M48)</f>
        <v/>
      </c>
    </row>
    <row r="49" ht="15" customHeight="1" s="33">
      <c r="A49" s="43" t="inlineStr">
        <is>
          <t>Carrier Battle: Philippine Sea</t>
        </is>
      </c>
      <c r="B49" s="43" t="n"/>
      <c r="C49" s="43" t="n"/>
      <c r="D49" s="43" t="n"/>
      <c r="E49" s="43" t="n"/>
      <c r="F49" s="43" t="n">
        <v>0.05</v>
      </c>
      <c r="G49" s="43" t="n"/>
      <c r="H49" s="43" t="n"/>
      <c r="I49" s="43" t="n">
        <v>0.0312</v>
      </c>
      <c r="J49" s="43" t="n"/>
      <c r="K49" s="43" t="n"/>
      <c r="L49" s="43" t="n"/>
      <c r="M49" s="43" t="n"/>
      <c r="N49" s="43">
        <f>0.7*IF(I49="",0,I49)+0.3*(0.5*IF(H49="",0,H49)+0.3*IF(G49="",0,G49)+0.2*IF(F49="",0,F49))</f>
        <v/>
      </c>
      <c r="O49" s="43">
        <f>SUM(B49:M49)</f>
        <v/>
      </c>
      <c r="P49" s="43">
        <f>COUNTA(B49:M49)</f>
        <v/>
      </c>
    </row>
    <row r="50" ht="15" customHeight="1" s="33">
      <c r="A50" s="45" t="inlineStr">
        <is>
          <t>Maneuver Warfare</t>
        </is>
      </c>
      <c r="B50" s="45" t="n"/>
      <c r="C50" s="45" t="n"/>
      <c r="D50" s="45" t="n"/>
      <c r="E50" s="45" t="n"/>
      <c r="F50" s="45" t="n">
        <v>0.025</v>
      </c>
      <c r="G50" s="45" t="n"/>
      <c r="H50" s="45" t="n"/>
      <c r="I50" s="45" t="n">
        <v>0.0312</v>
      </c>
      <c r="J50" s="45" t="n"/>
      <c r="K50" s="45" t="n"/>
      <c r="L50" s="45" t="n"/>
      <c r="M50" s="45" t="n"/>
      <c r="N50" s="45">
        <f>0.7*IF(I50="",0,I50)+0.3*(0.5*IF(H50="",0,H50)+0.3*IF(G50="",0,G50)+0.2*IF(F50="",0,F50))</f>
        <v/>
      </c>
      <c r="O50" s="45">
        <f>SUM(B50:M50)</f>
        <v/>
      </c>
      <c r="P50" s="45">
        <f>COUNTA(B50:M50)</f>
        <v/>
      </c>
    </row>
    <row r="51" ht="15" customHeight="1" s="33">
      <c r="A51" s="43" t="inlineStr">
        <is>
          <t>13 Días</t>
        </is>
      </c>
      <c r="B51" s="43" t="n"/>
      <c r="C51" s="43" t="n"/>
      <c r="D51" s="43" t="n"/>
      <c r="E51" s="43" t="n"/>
      <c r="F51" s="43" t="n"/>
      <c r="G51" s="43" t="n"/>
      <c r="H51" s="43" t="n"/>
      <c r="I51" s="43" t="n">
        <v>0.0312</v>
      </c>
      <c r="J51" s="43" t="n"/>
      <c r="K51" s="43" t="n"/>
      <c r="L51" s="43" t="n"/>
      <c r="M51" s="43" t="n"/>
      <c r="N51" s="43">
        <f>0.7*IF(I51="",0,I51)+0.3*(0.5*IF(H51="",0,H51)+0.3*IF(G51="",0,G51)+0.2*IF(F51="",0,F51))</f>
        <v/>
      </c>
      <c r="O51" s="43">
        <f>SUM(B51:M51)</f>
        <v/>
      </c>
      <c r="P51" s="43">
        <f>COUNTA(B51:M51)</f>
        <v/>
      </c>
    </row>
    <row r="52" ht="15" customHeight="1" s="33">
      <c r="A52" s="45" t="inlineStr">
        <is>
          <t>Celles</t>
        </is>
      </c>
      <c r="B52" s="45" t="n"/>
      <c r="C52" s="45" t="n"/>
      <c r="D52" s="45" t="n"/>
      <c r="E52" s="45" t="n"/>
      <c r="F52" s="45" t="n"/>
      <c r="G52" s="45" t="n"/>
      <c r="H52" s="45" t="n"/>
      <c r="I52" s="45" t="n">
        <v>0.0312</v>
      </c>
      <c r="J52" s="45" t="n"/>
      <c r="K52" s="45" t="n"/>
      <c r="L52" s="45" t="n"/>
      <c r="M52" s="45" t="n"/>
      <c r="N52" s="45">
        <f>0.7*IF(I52="",0,I52)+0.3*(0.5*IF(H52="",0,H52)+0.3*IF(G52="",0,G52)+0.2*IF(F52="",0,F52))</f>
        <v/>
      </c>
      <c r="O52" s="45">
        <f>SUM(B52:M52)</f>
        <v/>
      </c>
      <c r="P52" s="45">
        <f>COUNTA(B52:M52)</f>
        <v/>
      </c>
    </row>
    <row r="53" ht="15" customHeight="1" s="33">
      <c r="A53" s="43" t="inlineStr">
        <is>
          <t>Coast Watchers</t>
        </is>
      </c>
      <c r="B53" s="43" t="n"/>
      <c r="C53" s="43" t="n"/>
      <c r="D53" s="43" t="n"/>
      <c r="E53" s="43" t="n"/>
      <c r="F53" s="43" t="n"/>
      <c r="G53" s="43" t="n"/>
      <c r="H53" s="43" t="n"/>
      <c r="I53" s="43" t="n">
        <v>0.0312</v>
      </c>
      <c r="J53" s="43" t="n"/>
      <c r="K53" s="43" t="n"/>
      <c r="L53" s="43" t="n"/>
      <c r="M53" s="43" t="n"/>
      <c r="N53" s="43">
        <f>0.7*IF(I53="",0,I53)+0.3*(0.5*IF(H53="",0,H53)+0.3*IF(G53="",0,G53)+0.2*IF(F53="",0,F53))</f>
        <v/>
      </c>
      <c r="O53" s="43">
        <f>SUM(B53:M53)</f>
        <v/>
      </c>
      <c r="P53" s="43">
        <f>COUNTA(B53:M53)</f>
        <v/>
      </c>
    </row>
    <row r="54" ht="15" customHeight="1" s="33">
      <c r="A54" s="45" t="inlineStr">
        <is>
          <t>Comancheria</t>
        </is>
      </c>
      <c r="B54" s="45" t="n"/>
      <c r="C54" s="45" t="n"/>
      <c r="D54" s="45" t="n"/>
      <c r="E54" s="45" t="n"/>
      <c r="F54" s="45" t="n"/>
      <c r="G54" s="45" t="n"/>
      <c r="H54" s="45" t="n">
        <v>0.0227</v>
      </c>
      <c r="I54" s="45" t="n">
        <v>0.0312</v>
      </c>
      <c r="J54" s="45" t="n"/>
      <c r="K54" s="45" t="n"/>
      <c r="L54" s="45" t="n"/>
      <c r="M54" s="45" t="n"/>
      <c r="N54" s="45">
        <f>0.7*IF(I54="",0,I54)+0.3*(0.5*IF(H54="",0,H54)+0.3*IF(G54="",0,G54)+0.2*IF(F54="",0,F54))</f>
        <v/>
      </c>
      <c r="O54" s="45">
        <f>SUM(B54:M54)</f>
        <v/>
      </c>
      <c r="P54" s="45">
        <f>COUNTA(B54:M54)</f>
        <v/>
      </c>
    </row>
    <row r="55" ht="15" customHeight="1" s="33">
      <c r="A55" s="43" t="inlineStr">
        <is>
          <t>Guerrilla Generation</t>
        </is>
      </c>
      <c r="B55" s="43" t="n"/>
      <c r="C55" s="43" t="n"/>
      <c r="D55" s="43" t="n"/>
      <c r="E55" s="43" t="n"/>
      <c r="F55" s="43" t="n"/>
      <c r="G55" s="43" t="n"/>
      <c r="H55" s="43" t="n"/>
      <c r="I55" s="43" t="n">
        <v>0.0312</v>
      </c>
      <c r="J55" s="43" t="n"/>
      <c r="K55" s="43" t="n"/>
      <c r="L55" s="43" t="n"/>
      <c r="M55" s="43" t="n"/>
      <c r="N55" s="43">
        <f>0.7*IF(I55="",0,I55)+0.3*(0.5*IF(H55="",0,H55)+0.3*IF(G55="",0,G55)+0.2*IF(F55="",0,F55))</f>
        <v/>
      </c>
      <c r="O55" s="43">
        <f>SUM(B55:M55)</f>
        <v/>
      </c>
      <c r="P55" s="43">
        <f>COUNTA(B55:M55)</f>
        <v/>
      </c>
    </row>
    <row r="56" ht="15" customHeight="1" s="33">
      <c r="A56" s="45" t="inlineStr">
        <is>
          <t>Hearts &amp; Minds</t>
        </is>
      </c>
      <c r="B56" s="45" t="n"/>
      <c r="C56" s="45" t="n"/>
      <c r="D56" s="45" t="n"/>
      <c r="E56" s="45" t="n"/>
      <c r="F56" s="45" t="n"/>
      <c r="G56" s="45" t="n"/>
      <c r="H56" s="45" t="n"/>
      <c r="I56" s="45" t="n">
        <v>0.0312</v>
      </c>
      <c r="J56" s="45" t="n"/>
      <c r="K56" s="45" t="n"/>
      <c r="L56" s="45" t="n"/>
      <c r="M56" s="45" t="n"/>
      <c r="N56" s="45">
        <f>0.7*IF(I56="",0,I56)+0.3*(0.5*IF(H56="",0,H56)+0.3*IF(G56="",0,G56)+0.2*IF(F56="",0,F56))</f>
        <v/>
      </c>
      <c r="O56" s="45">
        <f>SUM(B56:M56)</f>
        <v/>
      </c>
      <c r="P56" s="45">
        <f>COUNTA(B56:M56)</f>
        <v/>
      </c>
    </row>
    <row r="57" ht="15" customHeight="1" s="33">
      <c r="A57" s="43" t="inlineStr">
        <is>
          <t>Koningsberg</t>
        </is>
      </c>
      <c r="B57" s="43" t="n"/>
      <c r="C57" s="43" t="n"/>
      <c r="D57" s="43" t="n"/>
      <c r="E57" s="43" t="n"/>
      <c r="F57" s="43" t="n"/>
      <c r="G57" s="43" t="n"/>
      <c r="H57" s="43" t="n"/>
      <c r="I57" s="43" t="n">
        <v>0.0312</v>
      </c>
      <c r="J57" s="43" t="n"/>
      <c r="K57" s="43" t="n"/>
      <c r="L57" s="43" t="n"/>
      <c r="M57" s="43" t="n"/>
      <c r="N57" s="43">
        <f>0.7*IF(I57="",0,I57)+0.3*(0.5*IF(H57="",0,H57)+0.3*IF(G57="",0,G57)+0.2*IF(F57="",0,F57))</f>
        <v/>
      </c>
      <c r="O57" s="43">
        <f>SUM(B57:M57)</f>
        <v/>
      </c>
      <c r="P57" s="43">
        <f>COUNTA(B57:M57)</f>
        <v/>
      </c>
    </row>
    <row r="58" ht="15" customHeight="1" s="33">
      <c r="A58" s="45" t="inlineStr">
        <is>
          <t>Model's Counterattack</t>
        </is>
      </c>
      <c r="B58" s="45" t="n"/>
      <c r="C58" s="45" t="n"/>
      <c r="D58" s="45" t="n"/>
      <c r="E58" s="45" t="n"/>
      <c r="F58" s="45" t="n"/>
      <c r="G58" s="45" t="n"/>
      <c r="H58" s="45" t="n"/>
      <c r="I58" s="45" t="n">
        <v>0.0312</v>
      </c>
      <c r="J58" s="45" t="n"/>
      <c r="K58" s="45" t="n"/>
      <c r="L58" s="45" t="n"/>
      <c r="M58" s="45" t="n"/>
      <c r="N58" s="45">
        <f>0.7*IF(I58="",0,I58)+0.3*(0.5*IF(H58="",0,H58)+0.3*IF(G58="",0,G58)+0.2*IF(F58="",0,F58))</f>
        <v/>
      </c>
      <c r="O58" s="45">
        <f>SUM(B58:M58)</f>
        <v/>
      </c>
      <c r="P58" s="45">
        <f>COUNTA(B58:M58)</f>
        <v/>
      </c>
    </row>
    <row r="59" ht="15" customHeight="1" s="33">
      <c r="A59" s="43" t="inlineStr">
        <is>
          <t>Modern Tactics #1: Afghanistan</t>
        </is>
      </c>
      <c r="B59" s="43" t="n"/>
      <c r="C59" s="43" t="n"/>
      <c r="D59" s="43" t="n"/>
      <c r="E59" s="43" t="n"/>
      <c r="F59" s="43" t="n"/>
      <c r="G59" s="43" t="n"/>
      <c r="H59" s="43" t="n"/>
      <c r="I59" s="43" t="n">
        <v>0.0312</v>
      </c>
      <c r="J59" s="43" t="n"/>
      <c r="K59" s="43" t="n"/>
      <c r="L59" s="43" t="n"/>
      <c r="M59" s="43" t="n"/>
      <c r="N59" s="43">
        <f>0.7*IF(I59="",0,I59)+0.3*(0.5*IF(H59="",0,H59)+0.3*IF(G59="",0,G59)+0.2*IF(F59="",0,F59))</f>
        <v/>
      </c>
      <c r="O59" s="43">
        <f>SUM(B59:M59)</f>
        <v/>
      </c>
      <c r="P59" s="43">
        <f>COUNTA(B59:M59)</f>
        <v/>
      </c>
    </row>
    <row r="60" ht="15" customHeight="1" s="33">
      <c r="A60" s="45" t="inlineStr">
        <is>
          <t>Pampero</t>
        </is>
      </c>
      <c r="B60" s="45" t="n"/>
      <c r="C60" s="45" t="n"/>
      <c r="D60" s="45" t="n"/>
      <c r="E60" s="45" t="n"/>
      <c r="F60" s="45" t="n"/>
      <c r="G60" s="45" t="n"/>
      <c r="H60" s="45" t="n"/>
      <c r="I60" s="45" t="n">
        <v>0.0312</v>
      </c>
      <c r="J60" s="45" t="n"/>
      <c r="K60" s="45" t="n"/>
      <c r="L60" s="45" t="n"/>
      <c r="M60" s="45" t="n"/>
      <c r="N60" s="45">
        <f>0.7*IF(I60="",0,I60)+0.3*(0.5*IF(H60="",0,H60)+0.3*IF(G60="",0,G60)+0.2*IF(F60="",0,F60))</f>
        <v/>
      </c>
      <c r="O60" s="45">
        <f>SUM(B60:M60)</f>
        <v/>
      </c>
      <c r="P60" s="45">
        <f>COUNTA(B60:M60)</f>
        <v/>
      </c>
    </row>
    <row r="61" ht="15" customHeight="1" s="33">
      <c r="A61" s="43" t="inlineStr">
        <is>
          <t>Quartermaster General: West Front</t>
        </is>
      </c>
      <c r="B61" s="43" t="n"/>
      <c r="C61" s="43" t="n"/>
      <c r="D61" s="43" t="n"/>
      <c r="E61" s="43" t="n"/>
      <c r="F61" s="43" t="n"/>
      <c r="G61" s="43" t="n"/>
      <c r="H61" s="43" t="n"/>
      <c r="I61" s="43" t="n">
        <v>0.0312</v>
      </c>
      <c r="J61" s="43" t="n"/>
      <c r="K61" s="43" t="n"/>
      <c r="L61" s="43" t="n"/>
      <c r="M61" s="43" t="n"/>
      <c r="N61" s="43">
        <f>0.7*IF(I61="",0,I61)+0.3*(0.5*IF(H61="",0,H61)+0.3*IF(G61="",0,G61)+0.2*IF(F61="",0,F61))</f>
        <v/>
      </c>
      <c r="O61" s="43">
        <f>SUM(B61:M61)</f>
        <v/>
      </c>
      <c r="P61" s="43">
        <f>COUNTA(B61:M61)</f>
        <v/>
      </c>
    </row>
    <row r="62" ht="15" customHeight="1" s="33">
      <c r="A62" s="45" t="inlineStr">
        <is>
          <t>Stalin's War</t>
        </is>
      </c>
      <c r="B62" s="45" t="n"/>
      <c r="C62" s="45" t="n"/>
      <c r="D62" s="45" t="n"/>
      <c r="E62" s="45" t="n"/>
      <c r="F62" s="45" t="n"/>
      <c r="G62" s="45" t="n"/>
      <c r="H62" s="45" t="n"/>
      <c r="I62" s="45" t="n">
        <v>0.0312</v>
      </c>
      <c r="J62" s="45" t="n"/>
      <c r="K62" s="45" t="n"/>
      <c r="L62" s="45" t="n"/>
      <c r="M62" s="45" t="n"/>
      <c r="N62" s="45">
        <f>0.7*IF(I62="",0,I62)+0.3*(0.5*IF(H62="",0,H62)+0.3*IF(G62="",0,G62)+0.2*IF(F62="",0,F62))</f>
        <v/>
      </c>
      <c r="O62" s="45">
        <f>SUM(B62:M62)</f>
        <v/>
      </c>
      <c r="P62" s="45">
        <f>COUNTA(B62:M62)</f>
        <v/>
      </c>
    </row>
    <row r="63" ht="15" customHeight="1" s="33">
      <c r="A63" s="43" t="inlineStr">
        <is>
          <t>The Great Battles of Alexander (GBoH)</t>
        </is>
      </c>
      <c r="B63" s="43" t="n"/>
      <c r="C63" s="43" t="n"/>
      <c r="D63" s="43" t="n"/>
      <c r="E63" s="43" t="n"/>
      <c r="F63" s="43" t="n"/>
      <c r="G63" s="43" t="n"/>
      <c r="H63" s="43" t="n"/>
      <c r="I63" s="43" t="n">
        <v>0.0312</v>
      </c>
      <c r="J63" s="43" t="n"/>
      <c r="K63" s="43" t="n"/>
      <c r="L63" s="43" t="n"/>
      <c r="M63" s="43" t="n"/>
      <c r="N63" s="43">
        <f>0.7*IF(I63="",0,I63)+0.3*(0.5*IF(H63="",0,H63)+0.3*IF(G63="",0,G63)+0.2*IF(F63="",0,F63))</f>
        <v/>
      </c>
      <c r="O63" s="43">
        <f>SUM(B63:M63)</f>
        <v/>
      </c>
      <c r="P63" s="43">
        <f>COUNTA(B63:M63)</f>
        <v/>
      </c>
    </row>
    <row r="64" ht="15" customHeight="1" s="33">
      <c r="A64" s="45" t="inlineStr">
        <is>
          <t>Triumph of Chaos</t>
        </is>
      </c>
      <c r="B64" s="45" t="n"/>
      <c r="C64" s="45" t="n"/>
      <c r="D64" s="45" t="n"/>
      <c r="E64" s="45" t="n"/>
      <c r="F64" s="45" t="n"/>
      <c r="G64" s="45" t="n"/>
      <c r="H64" s="45" t="n"/>
      <c r="I64" s="45" t="n">
        <v>0.0312</v>
      </c>
      <c r="J64" s="45" t="n"/>
      <c r="K64" s="45" t="n"/>
      <c r="L64" s="45" t="n"/>
      <c r="M64" s="45" t="n"/>
      <c r="N64" s="45">
        <f>0.7*IF(I64="",0,I64)+0.3*(0.5*IF(H64="",0,H64)+0.3*IF(G64="",0,G64)+0.2*IF(F64="",0,F64))</f>
        <v/>
      </c>
      <c r="O64" s="45">
        <f>SUM(B64:M64)</f>
        <v/>
      </c>
      <c r="P64" s="45">
        <f>COUNTA(B64:M64)</f>
        <v/>
      </c>
    </row>
    <row r="65" ht="15" customHeight="1" s="33">
      <c r="A65" s="43" t="inlineStr">
        <is>
          <t>Undaunted Normandy</t>
        </is>
      </c>
      <c r="B65" s="43" t="n"/>
      <c r="C65" s="43" t="n"/>
      <c r="D65" s="43" t="n"/>
      <c r="E65" s="43" t="n"/>
      <c r="F65" s="43" t="n"/>
      <c r="G65" s="43" t="n"/>
      <c r="H65" s="43" t="n"/>
      <c r="I65" s="43" t="n">
        <v>0.0312</v>
      </c>
      <c r="J65" s="43" t="n"/>
      <c r="K65" s="43" t="n"/>
      <c r="L65" s="43" t="n"/>
      <c r="M65" s="43" t="n"/>
      <c r="N65" s="43">
        <f>0.7*IF(I65="",0,I65)+0.3*(0.5*IF(H65="",0,H65)+0.3*IF(G65="",0,G65)+0.2*IF(F65="",0,F65))</f>
        <v/>
      </c>
      <c r="O65" s="43">
        <f>SUM(B65:M65)</f>
        <v/>
      </c>
      <c r="P65" s="43">
        <f>COUNTA(B65:M65)</f>
        <v/>
      </c>
    </row>
    <row r="66" ht="15" customHeight="1" s="33">
      <c r="A66" s="45" t="inlineStr">
        <is>
          <t>Warfare: Modern Tactical Combat</t>
        </is>
      </c>
      <c r="B66" s="45" t="n"/>
      <c r="C66" s="45" t="n"/>
      <c r="D66" s="45" t="n"/>
      <c r="E66" s="45" t="n"/>
      <c r="F66" s="45" t="n"/>
      <c r="G66" s="45" t="n"/>
      <c r="H66" s="45" t="n"/>
      <c r="I66" s="45" t="n">
        <v>0.0312</v>
      </c>
      <c r="J66" s="45" t="n"/>
      <c r="K66" s="45" t="n"/>
      <c r="L66" s="45" t="n"/>
      <c r="M66" s="45" t="n"/>
      <c r="N66" s="45">
        <f>0.7*IF(I66="",0,I66)+0.3*(0.5*IF(H66="",0,H66)+0.3*IF(G66="",0,G66)+0.2*IF(F66="",0,F66))</f>
        <v/>
      </c>
      <c r="O66" s="45">
        <f>SUM(B66:M66)</f>
        <v/>
      </c>
      <c r="P66" s="45">
        <f>COUNTA(B66:M66)</f>
        <v/>
      </c>
    </row>
    <row r="67" ht="15" customHeight="1" s="33">
      <c r="A67" s="43" t="inlineStr">
        <is>
          <t>Congress of Vienna</t>
        </is>
      </c>
      <c r="B67" s="43" t="n"/>
      <c r="C67" s="43" t="n"/>
      <c r="D67" s="43" t="n"/>
      <c r="E67" s="43" t="n"/>
      <c r="F67" s="43" t="n"/>
      <c r="G67" s="43" t="n">
        <v>0.0577</v>
      </c>
      <c r="H67" s="43" t="n"/>
      <c r="I67" s="43" t="n">
        <v>0.0156</v>
      </c>
      <c r="J67" s="43" t="n"/>
      <c r="K67" s="43" t="n"/>
      <c r="L67" s="43" t="n"/>
      <c r="M67" s="43" t="n"/>
      <c r="N67" s="43">
        <f>0.7*IF(I67="",0,I67)+0.3*(0.5*IF(H67="",0,H67)+0.3*IF(G67="",0,G67)+0.2*IF(F67="",0,F67))</f>
        <v/>
      </c>
      <c r="O67" s="43">
        <f>SUM(B67:M67)</f>
        <v/>
      </c>
      <c r="P67" s="43">
        <f>COUNTA(B67:M67)</f>
        <v/>
      </c>
    </row>
    <row r="68" ht="15" customHeight="1" s="33">
      <c r="A68" s="45" t="inlineStr">
        <is>
          <t>Stonewall Jackson Way II</t>
        </is>
      </c>
      <c r="B68" s="45" t="n"/>
      <c r="C68" s="45" t="n"/>
      <c r="D68" s="45" t="n"/>
      <c r="E68" s="45" t="n"/>
      <c r="F68" s="45" t="n">
        <v>0.075</v>
      </c>
      <c r="G68" s="45" t="n"/>
      <c r="H68" s="45" t="n"/>
      <c r="I68" s="45" t="n">
        <v>0.0156</v>
      </c>
      <c r="J68" s="45" t="n"/>
      <c r="K68" s="45" t="n"/>
      <c r="L68" s="45" t="n"/>
      <c r="M68" s="45" t="n"/>
      <c r="N68" s="45">
        <f>0.7*IF(I68="",0,I68)+0.3*(0.5*IF(H68="",0,H68)+0.3*IF(G68="",0,G68)+0.2*IF(F68="",0,F68))</f>
        <v/>
      </c>
      <c r="O68" s="45">
        <f>SUM(B68:M68)</f>
        <v/>
      </c>
      <c r="P68" s="45">
        <f>COUNTA(B68:M68)</f>
        <v/>
      </c>
    </row>
    <row r="69" ht="15" customHeight="1" s="33">
      <c r="A69" s="43" t="inlineStr">
        <is>
          <t>300: Tierra y Agua</t>
        </is>
      </c>
      <c r="B69" s="43" t="n"/>
      <c r="C69" s="43" t="n"/>
      <c r="D69" s="43" t="n"/>
      <c r="E69" s="43" t="n"/>
      <c r="F69" s="43" t="n"/>
      <c r="G69" s="43" t="n"/>
      <c r="H69" s="43" t="n">
        <v>0.0227</v>
      </c>
      <c r="I69" s="43" t="n">
        <v>0.0156</v>
      </c>
      <c r="J69" s="43" t="n"/>
      <c r="K69" s="43" t="n"/>
      <c r="L69" s="43" t="n"/>
      <c r="M69" s="43" t="n"/>
      <c r="N69" s="43">
        <f>0.7*IF(I69="",0,I69)+0.3*(0.5*IF(H69="",0,H69)+0.3*IF(G69="",0,G69)+0.2*IF(F69="",0,F69))</f>
        <v/>
      </c>
      <c r="O69" s="43">
        <f>SUM(B69:M69)</f>
        <v/>
      </c>
      <c r="P69" s="43">
        <f>COUNTA(B69:M69)</f>
        <v/>
      </c>
    </row>
    <row r="70" ht="15" customHeight="1" s="33">
      <c r="A70" s="45" t="inlineStr">
        <is>
          <t>SCS Fallschimjaeger</t>
        </is>
      </c>
      <c r="B70" s="45" t="n"/>
      <c r="C70" s="45" t="n"/>
      <c r="D70" s="45" t="n"/>
      <c r="E70" s="45" t="n"/>
      <c r="F70" s="45" t="n"/>
      <c r="G70" s="45" t="n"/>
      <c r="H70" s="45" t="n">
        <v>0.0227</v>
      </c>
      <c r="I70" s="45" t="n">
        <v>0.0156</v>
      </c>
      <c r="J70" s="45" t="n"/>
      <c r="K70" s="45" t="n"/>
      <c r="L70" s="45" t="n"/>
      <c r="M70" s="45" t="n"/>
      <c r="N70" s="45">
        <f>0.7*IF(I70="",0,I70)+0.3*(0.5*IF(H70="",0,H70)+0.3*IF(G70="",0,G70)+0.2*IF(F70="",0,F70))</f>
        <v/>
      </c>
      <c r="O70" s="45">
        <f>SUM(B70:M70)</f>
        <v/>
      </c>
      <c r="P70" s="45">
        <f>COUNTA(B70:M70)</f>
        <v/>
      </c>
    </row>
    <row r="71" ht="15" customHeight="1" s="33">
      <c r="A71" s="43" t="inlineStr">
        <is>
          <t>Asalto a Madrid</t>
        </is>
      </c>
      <c r="B71" s="43" t="n"/>
      <c r="C71" s="43" t="n"/>
      <c r="D71" s="43" t="n"/>
      <c r="E71" s="43" t="n"/>
      <c r="F71" s="43" t="n"/>
      <c r="G71" s="43" t="n">
        <v>0.0385</v>
      </c>
      <c r="H71" s="43" t="n"/>
      <c r="I71" s="43" t="n">
        <v>0.0156</v>
      </c>
      <c r="J71" s="43" t="n"/>
      <c r="K71" s="43" t="n"/>
      <c r="L71" s="43" t="n"/>
      <c r="M71" s="43" t="n"/>
      <c r="N71" s="43">
        <f>0.7*IF(I71="",0,I71)+0.3*(0.5*IF(H71="",0,H71)+0.3*IF(G71="",0,G71)+0.2*IF(F71="",0,F71))</f>
        <v/>
      </c>
      <c r="O71" s="43">
        <f>SUM(B71:M71)</f>
        <v/>
      </c>
      <c r="P71" s="43">
        <f>COUNTA(B71:M71)</f>
        <v/>
      </c>
    </row>
    <row r="72" ht="15" customHeight="1" s="33">
      <c r="A72" s="45" t="inlineStr">
        <is>
          <t>Paths of Glory</t>
        </is>
      </c>
      <c r="B72" s="45" t="n"/>
      <c r="C72" s="45" t="n"/>
      <c r="D72" s="45" t="n"/>
      <c r="E72" s="45" t="n">
        <v>0.0294</v>
      </c>
      <c r="F72" s="45" t="n"/>
      <c r="G72" s="45" t="n">
        <v>0.0192</v>
      </c>
      <c r="H72" s="45" t="n">
        <v>0.0682</v>
      </c>
      <c r="I72" s="45" t="n"/>
      <c r="J72" s="45" t="n"/>
      <c r="K72" s="45" t="n"/>
      <c r="L72" s="45" t="n"/>
      <c r="M72" s="45" t="n"/>
      <c r="N72" s="45">
        <f>0.7*IF(I72="",0,I72)+0.3*(0.5*IF(H72="",0,H72)+0.3*IF(G72="",0,G72)+0.2*IF(F72="",0,F72))</f>
        <v/>
      </c>
      <c r="O72" s="45">
        <f>SUM(B72:M72)</f>
        <v/>
      </c>
      <c r="P72" s="45">
        <f>COUNTA(B72:M72)</f>
        <v/>
      </c>
    </row>
    <row r="73" ht="15" customHeight="1" s="33">
      <c r="A73" s="43" t="inlineStr">
        <is>
          <t>Iwo jima el infierno en la tierra</t>
        </is>
      </c>
      <c r="B73" s="43" t="n"/>
      <c r="C73" s="43" t="n"/>
      <c r="D73" s="43" t="n"/>
      <c r="E73" s="43" t="n"/>
      <c r="F73" s="43" t="n"/>
      <c r="G73" s="43" t="n">
        <v>0.0577</v>
      </c>
      <c r="H73" s="43" t="n">
        <v>0.0455</v>
      </c>
      <c r="I73" s="43" t="n"/>
      <c r="J73" s="43" t="n"/>
      <c r="K73" s="43" t="n"/>
      <c r="L73" s="43" t="n"/>
      <c r="M73" s="43" t="n"/>
      <c r="N73" s="43">
        <f>0.7*IF(I73="",0,I73)+0.3*(0.5*IF(H73="",0,H73)+0.3*IF(G73="",0,G73)+0.2*IF(F73="",0,F73))</f>
        <v/>
      </c>
      <c r="O73" s="43">
        <f>SUM(B73:M73)</f>
        <v/>
      </c>
      <c r="P73" s="43">
        <f>COUNTA(B73:M73)</f>
        <v/>
      </c>
    </row>
    <row r="74" ht="15" customHeight="1" s="33">
      <c r="A74" s="45" t="inlineStr">
        <is>
          <t>Danger Forward: The Battle of Gela, July 1943</t>
        </is>
      </c>
      <c r="B74" s="45" t="n"/>
      <c r="C74" s="45" t="n"/>
      <c r="D74" s="45" t="n"/>
      <c r="E74" s="45" t="n"/>
      <c r="F74" s="45" t="n"/>
      <c r="G74" s="45" t="n"/>
      <c r="H74" s="45" t="n">
        <v>0.0682</v>
      </c>
      <c r="I74" s="45" t="n"/>
      <c r="J74" s="45" t="n"/>
      <c r="K74" s="45" t="n"/>
      <c r="L74" s="45" t="n"/>
      <c r="M74" s="45" t="n"/>
      <c r="N74" s="45">
        <f>0.7*IF(I74="",0,I74)+0.3*(0.5*IF(H74="",0,H74)+0.3*IF(G74="",0,G74)+0.2*IF(F74="",0,F74))</f>
        <v/>
      </c>
      <c r="O74" s="45">
        <f>SUM(B74:M74)</f>
        <v/>
      </c>
      <c r="P74" s="45">
        <f>COUNTA(B74:M74)</f>
        <v/>
      </c>
    </row>
    <row r="75" ht="15" customHeight="1" s="33">
      <c r="A75" s="43" t="inlineStr">
        <is>
          <t>Stalingrad: Advanced to the Volga</t>
        </is>
      </c>
      <c r="B75" s="43" t="n"/>
      <c r="C75" s="43" t="n"/>
      <c r="D75" s="43" t="n"/>
      <c r="E75" s="43" t="n"/>
      <c r="F75" s="43" t="n"/>
      <c r="G75" s="43" t="n"/>
      <c r="H75" s="43" t="n">
        <v>0.0682</v>
      </c>
      <c r="I75" s="43" t="n"/>
      <c r="J75" s="43" t="n"/>
      <c r="K75" s="43" t="n"/>
      <c r="L75" s="43" t="n"/>
      <c r="M75" s="43" t="n"/>
      <c r="N75" s="43">
        <f>0.7*IF(I75="",0,I75)+0.3*(0.5*IF(H75="",0,H75)+0.3*IF(G75="",0,G75)+0.2*IF(F75="",0,F75))</f>
        <v/>
      </c>
      <c r="O75" s="43">
        <f>SUM(B75:M75)</f>
        <v/>
      </c>
      <c r="P75" s="43">
        <f>COUNTA(B75:M75)</f>
        <v/>
      </c>
    </row>
    <row r="76" ht="15" customHeight="1" s="33">
      <c r="A76" s="45" t="inlineStr">
        <is>
          <t>Julius Caesar</t>
        </is>
      </c>
      <c r="B76" s="45" t="n"/>
      <c r="C76" s="45" t="n"/>
      <c r="D76" s="45" t="n"/>
      <c r="E76" s="45" t="n"/>
      <c r="F76" s="45" t="n">
        <v>0.025</v>
      </c>
      <c r="G76" s="45" t="n">
        <v>0.09619999999999999</v>
      </c>
      <c r="H76" s="45" t="n"/>
      <c r="I76" s="45" t="n"/>
      <c r="J76" s="45" t="n"/>
      <c r="K76" s="45" t="n"/>
      <c r="L76" s="45" t="n"/>
      <c r="M76" s="45" t="n"/>
      <c r="N76" s="45">
        <f>0.7*IF(I76="",0,I76)+0.3*(0.5*IF(H76="",0,H76)+0.3*IF(G76="",0,G76)+0.2*IF(F76="",0,F76))</f>
        <v/>
      </c>
      <c r="O76" s="45">
        <f>SUM(B76:M76)</f>
        <v/>
      </c>
      <c r="P76" s="45">
        <f>COUNTA(B76:M76)</f>
        <v/>
      </c>
    </row>
    <row r="77" ht="15" customHeight="1" s="33">
      <c r="A77" s="43" t="inlineStr">
        <is>
          <t>Air and Armor</t>
        </is>
      </c>
      <c r="B77" s="43" t="n"/>
      <c r="C77" s="43" t="n"/>
      <c r="D77" s="43" t="n"/>
      <c r="E77" s="43" t="n"/>
      <c r="F77" s="43" t="n"/>
      <c r="G77" s="43" t="n"/>
      <c r="H77" s="43" t="n"/>
      <c r="I77" s="43" t="n">
        <v>0.0156</v>
      </c>
      <c r="J77" s="43" t="n"/>
      <c r="K77" s="43" t="n"/>
      <c r="L77" s="43" t="n"/>
      <c r="M77" s="43" t="n"/>
      <c r="N77" s="43">
        <f>0.7*IF(I77="",0,I77)+0.3*(0.5*IF(H77="",0,H77)+0.3*IF(G77="",0,G77)+0.2*IF(F77="",0,F77))</f>
        <v/>
      </c>
      <c r="O77" s="43">
        <f>SUM(B77:M77)</f>
        <v/>
      </c>
      <c r="P77" s="43">
        <f>COUNTA(B77:M77)</f>
        <v/>
      </c>
    </row>
    <row r="78" ht="15" customHeight="1" s="33">
      <c r="A78" s="45" t="inlineStr">
        <is>
          <t>Coalitions</t>
        </is>
      </c>
      <c r="B78" s="45" t="n"/>
      <c r="C78" s="45" t="n"/>
      <c r="D78" s="45" t="n"/>
      <c r="E78" s="45" t="n"/>
      <c r="F78" s="45" t="n">
        <v>0.075</v>
      </c>
      <c r="G78" s="45" t="n"/>
      <c r="H78" s="45" t="n"/>
      <c r="I78" s="45" t="n">
        <v>0.0156</v>
      </c>
      <c r="J78" s="45" t="n"/>
      <c r="K78" s="45" t="n"/>
      <c r="L78" s="45" t="n"/>
      <c r="M78" s="45" t="n"/>
      <c r="N78" s="45">
        <f>0.7*IF(I78="",0,I78)+0.3*(0.5*IF(H78="",0,H78)+0.3*IF(G78="",0,G78)+0.2*IF(F78="",0,F78))</f>
        <v/>
      </c>
      <c r="O78" s="45">
        <f>SUM(B78:M78)</f>
        <v/>
      </c>
      <c r="P78" s="45">
        <f>COUNTA(B78:M78)</f>
        <v/>
      </c>
    </row>
    <row r="79" ht="15" customHeight="1" s="33">
      <c r="A79" s="43" t="inlineStr">
        <is>
          <t>El Rey Planeta</t>
        </is>
      </c>
      <c r="B79" s="43" t="n"/>
      <c r="C79" s="43" t="n"/>
      <c r="D79" s="43" t="n"/>
      <c r="E79" s="43" t="n"/>
      <c r="F79" s="43" t="n"/>
      <c r="G79" s="43" t="n"/>
      <c r="H79" s="43" t="n"/>
      <c r="I79" s="43" t="n">
        <v>0.0156</v>
      </c>
      <c r="J79" s="43" t="n"/>
      <c r="K79" s="43" t="n"/>
      <c r="L79" s="43" t="n"/>
      <c r="M79" s="43" t="n"/>
      <c r="N79" s="43">
        <f>0.7*IF(I79="",0,I79)+0.3*(0.5*IF(H79="",0,H79)+0.3*IF(G79="",0,G79)+0.2*IF(F79="",0,F79))</f>
        <v/>
      </c>
      <c r="O79" s="43">
        <f>SUM(B79:M79)</f>
        <v/>
      </c>
      <c r="P79" s="43">
        <f>COUNTA(B79:M79)</f>
        <v/>
      </c>
    </row>
    <row r="80" ht="15" customHeight="1" s="33">
      <c r="A80" s="45" t="inlineStr">
        <is>
          <t>Fighting Formations</t>
        </is>
      </c>
      <c r="B80" s="45" t="n"/>
      <c r="C80" s="45" t="n"/>
      <c r="D80" s="45" t="n"/>
      <c r="E80" s="45" t="n"/>
      <c r="F80" s="45" t="n"/>
      <c r="G80" s="45" t="n"/>
      <c r="H80" s="45" t="n"/>
      <c r="I80" s="45" t="n">
        <v>0.0156</v>
      </c>
      <c r="J80" s="45" t="n"/>
      <c r="K80" s="45" t="n"/>
      <c r="L80" s="45" t="n"/>
      <c r="M80" s="45" t="n"/>
      <c r="N80" s="45">
        <f>0.7*IF(I80="",0,I80)+0.3*(0.5*IF(H80="",0,H80)+0.3*IF(G80="",0,G80)+0.2*IF(F80="",0,F80))</f>
        <v/>
      </c>
      <c r="O80" s="45">
        <f>SUM(B80:M80)</f>
        <v/>
      </c>
      <c r="P80" s="45">
        <f>COUNTA(B80:M80)</f>
        <v/>
      </c>
    </row>
    <row r="81" ht="15" customHeight="1" s="33">
      <c r="A81" s="43" t="inlineStr">
        <is>
          <t>Help Arrives!</t>
        </is>
      </c>
      <c r="B81" s="43" t="n"/>
      <c r="C81" s="43" t="n"/>
      <c r="D81" s="43" t="n"/>
      <c r="E81" s="43" t="n"/>
      <c r="F81" s="43" t="n"/>
      <c r="G81" s="43" t="n"/>
      <c r="H81" s="43" t="n"/>
      <c r="I81" s="43" t="n">
        <v>0.0156</v>
      </c>
      <c r="J81" s="43" t="n"/>
      <c r="K81" s="43" t="n"/>
      <c r="L81" s="43" t="n"/>
      <c r="M81" s="43" t="n"/>
      <c r="N81" s="43">
        <f>0.7*IF(I81="",0,I81)+0.3*(0.5*IF(H81="",0,H81)+0.3*IF(G81="",0,G81)+0.2*IF(F81="",0,F81))</f>
        <v/>
      </c>
      <c r="O81" s="43">
        <f>SUM(B81:M81)</f>
        <v/>
      </c>
      <c r="P81" s="43">
        <f>COUNTA(B81:M81)</f>
        <v/>
      </c>
    </row>
    <row r="82" ht="15" customHeight="1" s="33">
      <c r="A82" s="45" t="inlineStr">
        <is>
          <t>Hoplite</t>
        </is>
      </c>
      <c r="B82" s="45" t="n"/>
      <c r="C82" s="45" t="n"/>
      <c r="D82" s="45" t="n"/>
      <c r="E82" s="45" t="n">
        <v>0.0588</v>
      </c>
      <c r="F82" s="45" t="n"/>
      <c r="G82" s="45" t="n"/>
      <c r="H82" s="45" t="n"/>
      <c r="I82" s="45" t="n">
        <v>0.0156</v>
      </c>
      <c r="J82" s="45" t="n"/>
      <c r="K82" s="45" t="n"/>
      <c r="L82" s="45" t="n"/>
      <c r="M82" s="45" t="n"/>
      <c r="N82" s="45">
        <f>0.7*IF(I82="",0,I82)+0.3*(0.5*IF(H82="",0,H82)+0.3*IF(G82="",0,G82)+0.2*IF(F82="",0,F82))</f>
        <v/>
      </c>
      <c r="O82" s="45">
        <f>SUM(B82:M82)</f>
        <v/>
      </c>
      <c r="P82" s="45">
        <f>COUNTA(B82:M82)</f>
        <v/>
      </c>
    </row>
    <row r="83" ht="15" customHeight="1" s="33">
      <c r="A83" s="43" t="inlineStr">
        <is>
          <t>La Guerra de la Triple Alianza</t>
        </is>
      </c>
      <c r="B83" s="43" t="n"/>
      <c r="C83" s="43" t="n"/>
      <c r="D83" s="43" t="n"/>
      <c r="E83" s="43" t="n"/>
      <c r="F83" s="43" t="n"/>
      <c r="G83" s="43" t="n"/>
      <c r="H83" s="43" t="n"/>
      <c r="I83" s="43" t="n">
        <v>0.0156</v>
      </c>
      <c r="J83" s="43" t="n"/>
      <c r="K83" s="43" t="n"/>
      <c r="L83" s="43" t="n"/>
      <c r="M83" s="43" t="n"/>
      <c r="N83" s="43">
        <f>0.7*IF(I83="",0,I83)+0.3*(0.5*IF(H83="",0,H83)+0.3*IF(G83="",0,G83)+0.2*IF(F83="",0,F83))</f>
        <v/>
      </c>
      <c r="O83" s="43">
        <f>SUM(B83:M83)</f>
        <v/>
      </c>
      <c r="P83" s="43">
        <f>COUNTA(B83:M83)</f>
        <v/>
      </c>
    </row>
    <row r="84" ht="15" customHeight="1" s="33">
      <c r="A84" s="45" t="inlineStr">
        <is>
          <t>María</t>
        </is>
      </c>
      <c r="B84" s="45" t="n"/>
      <c r="C84" s="45" t="n"/>
      <c r="D84" s="45" t="n">
        <v>0.1053</v>
      </c>
      <c r="E84" s="45" t="n">
        <v>0.1471</v>
      </c>
      <c r="F84" s="45" t="n">
        <v>0.075</v>
      </c>
      <c r="G84" s="45" t="n"/>
      <c r="H84" s="45" t="n">
        <v>0.09089999999999999</v>
      </c>
      <c r="I84" s="45" t="n">
        <v>0.0156</v>
      </c>
      <c r="J84" s="45" t="n"/>
      <c r="K84" s="45" t="n"/>
      <c r="L84" s="45" t="n"/>
      <c r="M84" s="45" t="n"/>
      <c r="N84" s="45">
        <f>0.7*IF(I84="",0,I84)+0.3*(0.5*IF(H84="",0,H84)+0.3*IF(G84="",0,G84)+0.2*IF(F84="",0,F84))</f>
        <v/>
      </c>
      <c r="O84" s="45">
        <f>SUM(B84:M84)</f>
        <v/>
      </c>
      <c r="P84" s="45">
        <f>COUNTA(B84:M84)</f>
        <v/>
      </c>
    </row>
    <row r="85" ht="15" customHeight="1" s="33">
      <c r="A85" s="43" t="inlineStr">
        <is>
          <t>Totaler Krieg!</t>
        </is>
      </c>
      <c r="B85" s="43" t="n"/>
      <c r="C85" s="43" t="n"/>
      <c r="D85" s="43" t="n"/>
      <c r="E85" s="43" t="n"/>
      <c r="F85" s="43" t="n"/>
      <c r="G85" s="43" t="n"/>
      <c r="H85" s="43" t="n"/>
      <c r="I85" s="43" t="n">
        <v>0.0156</v>
      </c>
      <c r="J85" s="43" t="n"/>
      <c r="K85" s="43" t="n"/>
      <c r="L85" s="43" t="n"/>
      <c r="M85" s="43" t="n"/>
      <c r="N85" s="43">
        <f>0.7*IF(I85="",0,I85)+0.3*(0.5*IF(H85="",0,H85)+0.3*IF(G85="",0,G85)+0.2*IF(F85="",0,F85))</f>
        <v/>
      </c>
      <c r="O85" s="43">
        <f>SUM(B85:M85)</f>
        <v/>
      </c>
      <c r="P85" s="43">
        <f>COUNTA(B85:M85)</f>
        <v/>
      </c>
    </row>
    <row r="86" ht="15" customHeight="1" s="33">
      <c r="A86" s="45" t="inlineStr">
        <is>
          <t>Verdun: Steel Inferno</t>
        </is>
      </c>
      <c r="B86" s="45" t="n"/>
      <c r="C86" s="45" t="n"/>
      <c r="D86" s="45" t="n"/>
      <c r="E86" s="45" t="n"/>
      <c r="F86" s="45" t="n"/>
      <c r="G86" s="45" t="n"/>
      <c r="H86" s="45" t="n"/>
      <c r="I86" s="45" t="n">
        <v>0.0156</v>
      </c>
      <c r="J86" s="45" t="n"/>
      <c r="K86" s="45" t="n"/>
      <c r="L86" s="45" t="n"/>
      <c r="M86" s="45" t="n"/>
      <c r="N86" s="45">
        <f>0.7*IF(I86="",0,I86)+0.3*(0.5*IF(H86="",0,H86)+0.3*IF(G86="",0,G86)+0.2*IF(F86="",0,F86))</f>
        <v/>
      </c>
      <c r="O86" s="45">
        <f>SUM(B86:M86)</f>
        <v/>
      </c>
      <c r="P86" s="45">
        <f>COUNTA(B86:M86)</f>
        <v/>
      </c>
    </row>
    <row r="87" ht="15" customHeight="1" s="33">
      <c r="A87" s="43" t="inlineStr">
        <is>
          <t>1812: War on the Great Lakes Frontier</t>
        </is>
      </c>
      <c r="B87" s="43" t="n"/>
      <c r="C87" s="43" t="n"/>
      <c r="D87" s="43" t="n"/>
      <c r="E87" s="43" t="n"/>
      <c r="F87" s="43" t="n"/>
      <c r="G87" s="43" t="n"/>
      <c r="H87" s="43" t="n">
        <v>0.0455</v>
      </c>
      <c r="I87" s="43" t="n"/>
      <c r="J87" s="43" t="n"/>
      <c r="K87" s="43" t="n"/>
      <c r="L87" s="43" t="n"/>
      <c r="M87" s="43" t="n"/>
      <c r="N87" s="43">
        <f>0.7*IF(I87="",0,I87)+0.3*(0.5*IF(H87="",0,H87)+0.3*IF(G87="",0,G87)+0.2*IF(F87="",0,F87))</f>
        <v/>
      </c>
      <c r="O87" s="43">
        <f>SUM(B87:M87)</f>
        <v/>
      </c>
      <c r="P87" s="43">
        <f>COUNTA(B87:M87)</f>
        <v/>
      </c>
    </row>
    <row r="88" ht="15" customHeight="1" s="33">
      <c r="A88" s="45" t="inlineStr">
        <is>
          <t>Atlantic Chase</t>
        </is>
      </c>
      <c r="B88" s="45" t="n"/>
      <c r="C88" s="45" t="n"/>
      <c r="D88" s="45" t="n"/>
      <c r="E88" s="45" t="n"/>
      <c r="F88" s="45" t="n"/>
      <c r="G88" s="45" t="n"/>
      <c r="H88" s="45" t="n">
        <v>0.0455</v>
      </c>
      <c r="I88" s="45" t="n"/>
      <c r="J88" s="45" t="n"/>
      <c r="K88" s="45" t="n"/>
      <c r="L88" s="45" t="n"/>
      <c r="M88" s="45" t="n"/>
      <c r="N88" s="45">
        <f>0.7*IF(I88="",0,I88)+0.3*(0.5*IF(H88="",0,H88)+0.3*IF(G88="",0,G88)+0.2*IF(F88="",0,F88))</f>
        <v/>
      </c>
      <c r="O88" s="45">
        <f>SUM(B88:M88)</f>
        <v/>
      </c>
      <c r="P88" s="45">
        <f>COUNTA(B88:M88)</f>
        <v/>
      </c>
    </row>
    <row r="89" ht="15" customHeight="1" s="33">
      <c r="A89" s="43" t="inlineStr">
        <is>
          <t>Combat Commander: Pacific</t>
        </is>
      </c>
      <c r="B89" s="43" t="n"/>
      <c r="C89" s="43" t="n"/>
      <c r="D89" s="43" t="n"/>
      <c r="E89" s="43" t="n"/>
      <c r="F89" s="43" t="n"/>
      <c r="G89" s="43" t="n"/>
      <c r="H89" s="43" t="n">
        <v>0.0455</v>
      </c>
      <c r="I89" s="43" t="n"/>
      <c r="J89" s="43" t="n"/>
      <c r="K89" s="43" t="n"/>
      <c r="L89" s="43" t="n"/>
      <c r="M89" s="43" t="n"/>
      <c r="N89" s="43">
        <f>0.7*IF(I89="",0,I89)+0.3*(0.5*IF(H89="",0,H89)+0.3*IF(G89="",0,G89)+0.2*IF(F89="",0,F89))</f>
        <v/>
      </c>
      <c r="O89" s="43">
        <f>SUM(B89:M89)</f>
        <v/>
      </c>
      <c r="P89" s="43">
        <f>COUNTA(B89:M89)</f>
        <v/>
      </c>
    </row>
    <row r="90" ht="15" customHeight="1" s="33">
      <c r="A90" s="45" t="inlineStr">
        <is>
          <t>Quartermaster General: East Front</t>
        </is>
      </c>
      <c r="B90" s="45" t="n"/>
      <c r="C90" s="45" t="n"/>
      <c r="D90" s="45" t="n"/>
      <c r="E90" s="45" t="n"/>
      <c r="F90" s="45" t="n"/>
      <c r="G90" s="45" t="n"/>
      <c r="H90" s="45" t="n">
        <v>0.0455</v>
      </c>
      <c r="I90" s="45" t="n"/>
      <c r="J90" s="45" t="n"/>
      <c r="K90" s="45" t="n"/>
      <c r="L90" s="45" t="n"/>
      <c r="M90" s="45" t="n"/>
      <c r="N90" s="45">
        <f>0.7*IF(I90="",0,I90)+0.3*(0.5*IF(H90="",0,H90)+0.3*IF(G90="",0,G90)+0.2*IF(F90="",0,F90))</f>
        <v/>
      </c>
      <c r="O90" s="45">
        <f>SUM(B90:M90)</f>
        <v/>
      </c>
      <c r="P90" s="45">
        <f>COUNTA(B90:M90)</f>
        <v/>
      </c>
    </row>
    <row r="91" ht="15" customHeight="1" s="33">
      <c r="A91" s="43" t="inlineStr">
        <is>
          <t>Smolensk (OCS)</t>
        </is>
      </c>
      <c r="B91" s="43" t="n"/>
      <c r="C91" s="43" t="n"/>
      <c r="D91" s="43" t="n"/>
      <c r="E91" s="43" t="n"/>
      <c r="F91" s="43" t="n"/>
      <c r="G91" s="43" t="n"/>
      <c r="H91" s="43" t="n">
        <v>0.0455</v>
      </c>
      <c r="I91" s="43" t="n"/>
      <c r="J91" s="43" t="n"/>
      <c r="K91" s="43" t="n"/>
      <c r="L91" s="43" t="n"/>
      <c r="M91" s="43" t="n"/>
      <c r="N91" s="43">
        <f>0.7*IF(I91="",0,I91)+0.3*(0.5*IF(H91="",0,H91)+0.3*IF(G91="",0,G91)+0.2*IF(F91="",0,F91))</f>
        <v/>
      </c>
      <c r="O91" s="43">
        <f>SUM(B91:M91)</f>
        <v/>
      </c>
      <c r="P91" s="43">
        <f>COUNTA(B91:M91)</f>
        <v/>
      </c>
    </row>
    <row r="92" ht="15" customHeight="1" s="33">
      <c r="A92" s="45" t="inlineStr">
        <is>
          <t>GBACW Gettysburg</t>
        </is>
      </c>
      <c r="B92" s="45" t="n"/>
      <c r="C92" s="45" t="n"/>
      <c r="D92" s="45" t="n"/>
      <c r="E92" s="45" t="n"/>
      <c r="F92" s="45" t="n"/>
      <c r="G92" s="45" t="n">
        <v>0.0577</v>
      </c>
      <c r="H92" s="45" t="n"/>
      <c r="I92" s="45" t="n"/>
      <c r="J92" s="45" t="n"/>
      <c r="K92" s="45" t="n"/>
      <c r="L92" s="45" t="n"/>
      <c r="M92" s="45" t="n"/>
      <c r="N92" s="45">
        <f>0.7*IF(I92="",0,I92)+0.3*(0.5*IF(H92="",0,H92)+0.3*IF(G92="",0,G92)+0.2*IF(F92="",0,F92))</f>
        <v/>
      </c>
      <c r="O92" s="45">
        <f>SUM(B92:M92)</f>
        <v/>
      </c>
      <c r="P92" s="45">
        <f>COUNTA(B92:M92)</f>
        <v/>
      </c>
    </row>
    <row r="93" ht="15" customHeight="1" s="33">
      <c r="A93" s="43" t="inlineStr">
        <is>
          <t>Serie GCACW</t>
        </is>
      </c>
      <c r="B93" s="43" t="n"/>
      <c r="C93" s="43" t="n"/>
      <c r="D93" s="43" t="n"/>
      <c r="E93" s="43" t="n"/>
      <c r="F93" s="43" t="n"/>
      <c r="G93" s="43" t="n">
        <v>0.0577</v>
      </c>
      <c r="H93" s="43" t="n"/>
      <c r="I93" s="43" t="n"/>
      <c r="J93" s="43" t="n"/>
      <c r="K93" s="43" t="n"/>
      <c r="L93" s="43" t="n"/>
      <c r="M93" s="43" t="n"/>
      <c r="N93" s="43">
        <f>0.7*IF(I93="",0,I93)+0.3*(0.5*IF(H93="",0,H93)+0.3*IF(G93="",0,G93)+0.2*IF(F93="",0,F93))</f>
        <v/>
      </c>
      <c r="O93" s="43">
        <f>SUM(B93:M93)</f>
        <v/>
      </c>
      <c r="P93" s="43">
        <f>COUNTA(B93:M93)</f>
        <v/>
      </c>
    </row>
    <row r="94" ht="15" customHeight="1" s="33">
      <c r="A94" s="45" t="inlineStr">
        <is>
          <t>The Battle of Normandy</t>
        </is>
      </c>
      <c r="B94" s="45" t="n"/>
      <c r="C94" s="45" t="n"/>
      <c r="D94" s="45" t="n"/>
      <c r="E94" s="45" t="n"/>
      <c r="F94" s="45" t="n"/>
      <c r="G94" s="45" t="n">
        <v>0.0577</v>
      </c>
      <c r="H94" s="45" t="n"/>
      <c r="I94" s="45" t="n"/>
      <c r="J94" s="45" t="n"/>
      <c r="K94" s="45" t="n"/>
      <c r="L94" s="45" t="n"/>
      <c r="M94" s="45" t="n"/>
      <c r="N94" s="45">
        <f>0.7*IF(I94="",0,I94)+0.3*(0.5*IF(H94="",0,H94)+0.3*IF(G94="",0,G94)+0.2*IF(F94="",0,F94))</f>
        <v/>
      </c>
      <c r="O94" s="45">
        <f>SUM(B94:M94)</f>
        <v/>
      </c>
      <c r="P94" s="45">
        <f>COUNTA(B94:M94)</f>
        <v/>
      </c>
    </row>
    <row r="95" ht="15" customHeight="1" s="33">
      <c r="A95" s="43" t="inlineStr">
        <is>
          <t>Undaunted Battle of britain</t>
        </is>
      </c>
      <c r="B95" s="43" t="n"/>
      <c r="C95" s="43" t="n"/>
      <c r="D95" s="43" t="n"/>
      <c r="E95" s="43" t="n"/>
      <c r="F95" s="43" t="n"/>
      <c r="G95" s="43" t="n">
        <v>0.0577</v>
      </c>
      <c r="H95" s="43" t="n"/>
      <c r="I95" s="43" t="n"/>
      <c r="J95" s="43" t="n"/>
      <c r="K95" s="43" t="n"/>
      <c r="L95" s="43" t="n"/>
      <c r="M95" s="43" t="n"/>
      <c r="N95" s="43">
        <f>0.7*IF(I95="",0,I95)+0.3*(0.5*IF(H95="",0,H95)+0.3*IF(G95="",0,G95)+0.2*IF(F95="",0,F95))</f>
        <v/>
      </c>
      <c r="O95" s="43">
        <f>SUM(B95:M95)</f>
        <v/>
      </c>
      <c r="P95" s="43">
        <f>COUNTA(B95:M95)</f>
        <v/>
      </c>
    </row>
    <row r="96" ht="15" customHeight="1" s="33">
      <c r="A96" s="45" t="inlineStr">
        <is>
          <t>Wing Leader</t>
        </is>
      </c>
      <c r="B96" s="45" t="n"/>
      <c r="C96" s="45" t="n"/>
      <c r="D96" s="45" t="n"/>
      <c r="E96" s="45" t="n"/>
      <c r="F96" s="45" t="n"/>
      <c r="G96" s="45" t="n">
        <v>0.0577</v>
      </c>
      <c r="H96" s="45" t="n"/>
      <c r="I96" s="45" t="n"/>
      <c r="J96" s="45" t="n"/>
      <c r="K96" s="45" t="n"/>
      <c r="L96" s="45" t="n"/>
      <c r="M96" s="45" t="n"/>
      <c r="N96" s="45">
        <f>0.7*IF(I96="",0,I96)+0.3*(0.5*IF(H96="",0,H96)+0.3*IF(G96="",0,G96)+0.2*IF(F96="",0,F96))</f>
        <v/>
      </c>
      <c r="O96" s="45">
        <f>SUM(B96:M96)</f>
        <v/>
      </c>
      <c r="P96" s="45">
        <f>COUNTA(B96:M96)</f>
        <v/>
      </c>
    </row>
    <row r="97" ht="15" customHeight="1" s="33">
      <c r="A97" s="43" t="inlineStr">
        <is>
          <t>Senderos de Gloria</t>
        </is>
      </c>
      <c r="B97" s="43" t="n"/>
      <c r="C97" s="43" t="n"/>
      <c r="D97" s="43" t="n">
        <v>0.1579</v>
      </c>
      <c r="E97" s="43" t="n">
        <v>0.0882</v>
      </c>
      <c r="F97" s="43" t="n">
        <v>0.075</v>
      </c>
      <c r="G97" s="43" t="n"/>
      <c r="H97" s="43" t="n"/>
      <c r="I97" s="43" t="n"/>
      <c r="J97" s="43" t="n"/>
      <c r="K97" s="43" t="n"/>
      <c r="L97" s="43" t="n"/>
      <c r="M97" s="43" t="n"/>
      <c r="N97" s="43">
        <f>0.7*IF(I97="",0,I97)+0.3*(0.5*IF(H97="",0,H97)+0.3*IF(G97="",0,G97)+0.2*IF(F97="",0,F97))</f>
        <v/>
      </c>
      <c r="O97" s="43">
        <f>SUM(B97:M97)</f>
        <v/>
      </c>
      <c r="P97" s="43">
        <f>COUNTA(B97:M97)</f>
        <v/>
      </c>
    </row>
    <row r="98" ht="15" customHeight="1" s="33">
      <c r="A98" s="45" t="inlineStr">
        <is>
          <t>Here I Stand</t>
        </is>
      </c>
      <c r="B98" s="45" t="n"/>
      <c r="C98" s="45" t="n"/>
      <c r="D98" s="45" t="n"/>
      <c r="E98" s="45" t="n">
        <v>0.0882</v>
      </c>
      <c r="F98" s="45" t="n">
        <v>0.075</v>
      </c>
      <c r="G98" s="45" t="n"/>
      <c r="H98" s="45" t="n"/>
      <c r="I98" s="45" t="n"/>
      <c r="J98" s="45" t="n"/>
      <c r="K98" s="45" t="n"/>
      <c r="L98" s="45" t="n"/>
      <c r="M98" s="45" t="n"/>
      <c r="N98" s="45">
        <f>0.7*IF(I98="",0,I98)+0.3*(0.5*IF(H98="",0,H98)+0.3*IF(G98="",0,G98)+0.2*IF(F98="",0,F98))</f>
        <v/>
      </c>
      <c r="O98" s="45">
        <f>SUM(B98:M98)</f>
        <v/>
      </c>
      <c r="P98" s="45">
        <f>COUNTA(B98:M98)</f>
        <v/>
      </c>
    </row>
    <row r="99" ht="15" customHeight="1" s="33">
      <c r="A99" s="43" t="inlineStr">
        <is>
          <t>Battalion S3 Issue 1 (Revista de MMP)</t>
        </is>
      </c>
      <c r="B99" s="43" t="n"/>
      <c r="C99" s="43" t="n"/>
      <c r="D99" s="43" t="n"/>
      <c r="E99" s="43" t="n"/>
      <c r="F99" s="43" t="n">
        <v>0.075</v>
      </c>
      <c r="G99" s="43" t="n"/>
      <c r="H99" s="43" t="n"/>
      <c r="I99" s="43" t="n"/>
      <c r="J99" s="43" t="n"/>
      <c r="K99" s="43" t="n"/>
      <c r="L99" s="43" t="n"/>
      <c r="M99" s="43" t="n"/>
      <c r="N99" s="43">
        <f>0.7*IF(I99="",0,I99)+0.3*(0.5*IF(H99="",0,H99)+0.3*IF(G99="",0,G99)+0.2*IF(F99="",0,F99))</f>
        <v/>
      </c>
      <c r="O99" s="43">
        <f>SUM(B99:M99)</f>
        <v/>
      </c>
      <c r="P99" s="43">
        <f>COUNTA(B99:M99)</f>
        <v/>
      </c>
    </row>
    <row r="100" ht="15" customHeight="1" s="33">
      <c r="A100" s="45" t="inlineStr">
        <is>
          <t>Divine Right</t>
        </is>
      </c>
      <c r="B100" s="45" t="n"/>
      <c r="C100" s="45" t="n"/>
      <c r="D100" s="45" t="n"/>
      <c r="E100" s="45" t="n"/>
      <c r="F100" s="45" t="n">
        <v>0.075</v>
      </c>
      <c r="G100" s="45" t="n"/>
      <c r="H100" s="45" t="n"/>
      <c r="I100" s="45" t="n"/>
      <c r="J100" s="45" t="n"/>
      <c r="K100" s="45" t="n"/>
      <c r="L100" s="45" t="n"/>
      <c r="M100" s="45" t="n"/>
      <c r="N100" s="45">
        <f>0.7*IF(I100="",0,I100)+0.3*(0.5*IF(H100="",0,H100)+0.3*IF(G100="",0,G100)+0.2*IF(F100="",0,F100))</f>
        <v/>
      </c>
      <c r="O100" s="45">
        <f>SUM(B100:M100)</f>
        <v/>
      </c>
      <c r="P100" s="45">
        <f>COUNTA(B100:M100)</f>
        <v/>
      </c>
    </row>
    <row r="101" ht="15" customHeight="1" s="33">
      <c r="A101" s="43" t="inlineStr">
        <is>
          <t>Far East war 1592</t>
        </is>
      </c>
      <c r="B101" s="43" t="n"/>
      <c r="C101" s="43" t="n"/>
      <c r="D101" s="43" t="n"/>
      <c r="E101" s="43" t="n"/>
      <c r="F101" s="43" t="n">
        <v>0.075</v>
      </c>
      <c r="G101" s="43" t="n"/>
      <c r="H101" s="43" t="n"/>
      <c r="I101" s="43" t="n"/>
      <c r="J101" s="43" t="n"/>
      <c r="K101" s="43" t="n"/>
      <c r="L101" s="43" t="n"/>
      <c r="M101" s="43" t="n"/>
      <c r="N101" s="43">
        <f>0.7*IF(I101="",0,I101)+0.3*(0.5*IF(H101="",0,H101)+0.3*IF(G101="",0,G101)+0.2*IF(F101="",0,F101))</f>
        <v/>
      </c>
      <c r="O101" s="43">
        <f>SUM(B101:M101)</f>
        <v/>
      </c>
      <c r="P101" s="43">
        <f>COUNTA(B101:M101)</f>
        <v/>
      </c>
    </row>
    <row r="102" ht="15" customHeight="1" s="33">
      <c r="A102" s="45" t="inlineStr">
        <is>
          <t>Men of Iron Tri-Pack</t>
        </is>
      </c>
      <c r="B102" s="45" t="n"/>
      <c r="C102" s="45" t="n"/>
      <c r="D102" s="45" t="n"/>
      <c r="E102" s="45" t="n"/>
      <c r="F102" s="45" t="n">
        <v>0.075</v>
      </c>
      <c r="G102" s="45" t="n"/>
      <c r="H102" s="45" t="n"/>
      <c r="I102" s="45" t="n"/>
      <c r="J102" s="45" t="n"/>
      <c r="K102" s="45" t="n"/>
      <c r="L102" s="45" t="n"/>
      <c r="M102" s="45" t="n"/>
      <c r="N102" s="45">
        <f>0.7*IF(I102="",0,I102)+0.3*(0.5*IF(H102="",0,H102)+0.3*IF(G102="",0,G102)+0.2*IF(F102="",0,F102))</f>
        <v/>
      </c>
      <c r="O102" s="45">
        <f>SUM(B102:M102)</f>
        <v/>
      </c>
      <c r="P102" s="45">
        <f>COUNTA(B102:M102)</f>
        <v/>
      </c>
    </row>
    <row r="103" ht="15" customHeight="1" s="33">
      <c r="A103" s="43" t="inlineStr">
        <is>
          <t>Traces of War</t>
        </is>
      </c>
      <c r="B103" s="43" t="n"/>
      <c r="C103" s="43" t="n"/>
      <c r="D103" s="43" t="n"/>
      <c r="E103" s="43" t="n"/>
      <c r="F103" s="43" t="n">
        <v>0.075</v>
      </c>
      <c r="G103" s="43" t="n"/>
      <c r="H103" s="43" t="n"/>
      <c r="I103" s="43" t="n"/>
      <c r="J103" s="43" t="n"/>
      <c r="K103" s="43" t="n"/>
      <c r="L103" s="43" t="n"/>
      <c r="M103" s="43" t="n"/>
      <c r="N103" s="43">
        <f>0.7*IF(I103="",0,I103)+0.3*(0.5*IF(H103="",0,H103)+0.3*IF(G103="",0,G103)+0.2*IF(F103="",0,F103))</f>
        <v/>
      </c>
      <c r="O103" s="43">
        <f>SUM(B103:M103)</f>
        <v/>
      </c>
      <c r="P103" s="43">
        <f>COUNTA(B103:M103)</f>
        <v/>
      </c>
    </row>
    <row r="104" ht="15" customHeight="1" s="33">
      <c r="A104" s="45" t="inlineStr">
        <is>
          <t>Warfighter WWII</t>
        </is>
      </c>
      <c r="B104" s="45" t="n"/>
      <c r="C104" s="45" t="n"/>
      <c r="D104" s="45" t="n">
        <v>0.1053</v>
      </c>
      <c r="E104" s="45" t="n"/>
      <c r="F104" s="45" t="n"/>
      <c r="G104" s="45" t="n"/>
      <c r="H104" s="45" t="n">
        <v>0.0227</v>
      </c>
      <c r="I104" s="45" t="n"/>
      <c r="J104" s="45" t="n"/>
      <c r="K104" s="45" t="n"/>
      <c r="L104" s="45" t="n"/>
      <c r="M104" s="45" t="n"/>
      <c r="N104" s="45">
        <f>0.7*IF(I104="",0,I104)+0.3*(0.5*IF(H104="",0,H104)+0.3*IF(G104="",0,G104)+0.2*IF(F104="",0,F104))</f>
        <v/>
      </c>
      <c r="O104" s="45">
        <f>SUM(B104:M104)</f>
        <v/>
      </c>
      <c r="P104" s="45">
        <f>COUNTA(B104:M104)</f>
        <v/>
      </c>
    </row>
    <row r="105" ht="15" customHeight="1" s="33">
      <c r="A105" s="43" t="inlineStr">
        <is>
          <t>Next War: Poland</t>
        </is>
      </c>
      <c r="B105" s="43" t="n"/>
      <c r="C105" s="43" t="n"/>
      <c r="D105" s="43" t="n"/>
      <c r="E105" s="43" t="n"/>
      <c r="F105" s="43" t="n"/>
      <c r="G105" s="43" t="n"/>
      <c r="H105" s="43" t="n">
        <v>0.0227</v>
      </c>
      <c r="I105" s="43" t="n"/>
      <c r="J105" s="43" t="n"/>
      <c r="K105" s="43" t="n"/>
      <c r="L105" s="43" t="n"/>
      <c r="M105" s="43" t="n"/>
      <c r="N105" s="43">
        <f>0.7*IF(I105="",0,I105)+0.3*(0.5*IF(H105="",0,H105)+0.3*IF(G105="",0,G105)+0.2*IF(F105="",0,F105))</f>
        <v/>
      </c>
      <c r="O105" s="43">
        <f>SUM(B105:M105)</f>
        <v/>
      </c>
      <c r="P105" s="43">
        <f>COUNTA(B105:M105)</f>
        <v/>
      </c>
    </row>
    <row r="106" ht="15" customHeight="1" s="33">
      <c r="A106" s="45" t="inlineStr">
        <is>
          <t>Norman Conquest: Men of Iron</t>
        </is>
      </c>
      <c r="B106" s="45" t="n"/>
      <c r="C106" s="45" t="n"/>
      <c r="D106" s="45" t="n"/>
      <c r="E106" s="45" t="n"/>
      <c r="F106" s="45" t="n"/>
      <c r="G106" s="45" t="n"/>
      <c r="H106" s="45" t="n">
        <v>0.0227</v>
      </c>
      <c r="I106" s="45" t="n"/>
      <c r="J106" s="45" t="n"/>
      <c r="K106" s="45" t="n"/>
      <c r="L106" s="45" t="n"/>
      <c r="M106" s="45" t="n"/>
      <c r="N106" s="45">
        <f>0.7*IF(I106="",0,I106)+0.3*(0.5*IF(H106="",0,H106)+0.3*IF(G106="",0,G106)+0.2*IF(F106="",0,F106))</f>
        <v/>
      </c>
      <c r="O106" s="45">
        <f>SUM(B106:M106)</f>
        <v/>
      </c>
      <c r="P106" s="45">
        <f>COUNTA(B106:M106)</f>
        <v/>
      </c>
    </row>
    <row r="107" ht="15" customHeight="1" s="33">
      <c r="A107" s="43" t="inlineStr">
        <is>
          <t>US Civil War</t>
        </is>
      </c>
      <c r="B107" s="43" t="n"/>
      <c r="C107" s="43" t="n"/>
      <c r="D107" s="43" t="n"/>
      <c r="E107" s="43" t="n"/>
      <c r="F107" s="43" t="n"/>
      <c r="G107" s="43" t="n"/>
      <c r="H107" s="43" t="n">
        <v>0.0227</v>
      </c>
      <c r="I107" s="43" t="n"/>
      <c r="J107" s="43" t="n"/>
      <c r="K107" s="43" t="n"/>
      <c r="L107" s="43" t="n"/>
      <c r="M107" s="43" t="n"/>
      <c r="N107" s="43">
        <f>0.7*IF(I107="",0,I107)+0.3*(0.5*IF(H107="",0,H107)+0.3*IF(G107="",0,G107)+0.2*IF(F107="",0,F107))</f>
        <v/>
      </c>
      <c r="O107" s="43">
        <f>SUM(B107:M107)</f>
        <v/>
      </c>
      <c r="P107" s="43">
        <f>COUNTA(B107:M107)</f>
        <v/>
      </c>
    </row>
    <row r="108" ht="15" customHeight="1" s="33">
      <c r="A108" s="45" t="inlineStr">
        <is>
          <t>Wir sind das Volk!</t>
        </is>
      </c>
      <c r="B108" s="45" t="n"/>
      <c r="C108" s="45" t="n"/>
      <c r="D108" s="45" t="n">
        <v>0.0526</v>
      </c>
      <c r="E108" s="45" t="n">
        <v>0.0294</v>
      </c>
      <c r="F108" s="45" t="n"/>
      <c r="G108" s="45" t="n">
        <v>0.09619999999999999</v>
      </c>
      <c r="H108" s="45" t="n">
        <v>0.0682</v>
      </c>
      <c r="I108" s="45" t="n"/>
      <c r="J108" s="45" t="n"/>
      <c r="K108" s="45" t="n"/>
      <c r="L108" s="45" t="n"/>
      <c r="M108" s="45" t="n"/>
      <c r="N108" s="45">
        <f>0.7*IF(I108="",0,I108)+0.3*(0.5*IF(H108="",0,H108)+0.3*IF(G108="",0,G108)+0.2*IF(F108="",0,F108))</f>
        <v/>
      </c>
      <c r="O108" s="45">
        <f>SUM(B108:M108)</f>
        <v/>
      </c>
      <c r="P108" s="45">
        <f>COUNTA(B108:M108)</f>
        <v/>
      </c>
    </row>
    <row r="109" ht="15" customHeight="1" s="33">
      <c r="A109" s="43" t="inlineStr">
        <is>
          <t>Battlefields of the Napoleonic Wars</t>
        </is>
      </c>
      <c r="B109" s="43" t="n"/>
      <c r="C109" s="43" t="n"/>
      <c r="D109" s="43" t="n"/>
      <c r="E109" s="43" t="n"/>
      <c r="F109" s="43" t="n"/>
      <c r="G109" s="43" t="n">
        <v>0.0385</v>
      </c>
      <c r="H109" s="43" t="n"/>
      <c r="I109" s="43" t="n"/>
      <c r="J109" s="43" t="n"/>
      <c r="K109" s="43" t="n"/>
      <c r="L109" s="43" t="n"/>
      <c r="M109" s="43" t="n"/>
      <c r="N109" s="43">
        <f>0.7*IF(I109="",0,I109)+0.3*(0.5*IF(H109="",0,H109)+0.3*IF(G109="",0,G109)+0.2*IF(F109="",0,F109))</f>
        <v/>
      </c>
      <c r="O109" s="43">
        <f>SUM(B109:M109)</f>
        <v/>
      </c>
      <c r="P109" s="43">
        <f>COUNTA(B109:M109)</f>
        <v/>
      </c>
    </row>
    <row r="110" ht="15" customHeight="1" s="33">
      <c r="A110" s="45" t="inlineStr">
        <is>
          <t>Combat 1 compáss games</t>
        </is>
      </c>
      <c r="B110" s="45" t="n"/>
      <c r="C110" s="45" t="n"/>
      <c r="D110" s="45" t="n"/>
      <c r="E110" s="45" t="n"/>
      <c r="F110" s="45" t="n"/>
      <c r="G110" s="45" t="n">
        <v>0.0385</v>
      </c>
      <c r="H110" s="45" t="n"/>
      <c r="I110" s="45" t="n"/>
      <c r="J110" s="45" t="n"/>
      <c r="K110" s="45" t="n"/>
      <c r="L110" s="45" t="n"/>
      <c r="M110" s="45" t="n"/>
      <c r="N110" s="45">
        <f>0.7*IF(I110="",0,I110)+0.3*(0.5*IF(H110="",0,H110)+0.3*IF(G110="",0,G110)+0.2*IF(F110="",0,F110))</f>
        <v/>
      </c>
      <c r="O110" s="45">
        <f>SUM(B110:M110)</f>
        <v/>
      </c>
      <c r="P110" s="45">
        <f>COUNTA(B110:M110)</f>
        <v/>
      </c>
    </row>
    <row r="111" ht="15" customHeight="1" s="33">
      <c r="A111" s="43" t="inlineStr">
        <is>
          <t>Mud &amp; Blood</t>
        </is>
      </c>
      <c r="B111" s="43" t="n"/>
      <c r="C111" s="43" t="n"/>
      <c r="D111" s="43" t="n"/>
      <c r="E111" s="43" t="n"/>
      <c r="F111" s="43" t="n"/>
      <c r="G111" s="43" t="n">
        <v>0.0385</v>
      </c>
      <c r="H111" s="43" t="n"/>
      <c r="I111" s="43" t="n"/>
      <c r="J111" s="43" t="n"/>
      <c r="K111" s="43" t="n"/>
      <c r="L111" s="43" t="n"/>
      <c r="M111" s="43" t="n"/>
      <c r="N111" s="43">
        <f>0.7*IF(I111="",0,I111)+0.3*(0.5*IF(H111="",0,H111)+0.3*IF(G111="",0,G111)+0.2*IF(F111="",0,F111))</f>
        <v/>
      </c>
      <c r="O111" s="43">
        <f>SUM(B111:M111)</f>
        <v/>
      </c>
      <c r="P111" s="43">
        <f>COUNTA(B111:M111)</f>
        <v/>
      </c>
    </row>
    <row r="112" ht="15" customHeight="1" s="33">
      <c r="A112" s="45" t="inlineStr">
        <is>
          <t>OCS Korea</t>
        </is>
      </c>
      <c r="B112" s="45" t="n"/>
      <c r="C112" s="45" t="n"/>
      <c r="D112" s="45" t="n"/>
      <c r="E112" s="45" t="n"/>
      <c r="F112" s="45" t="n"/>
      <c r="G112" s="45" t="n">
        <v>0.0385</v>
      </c>
      <c r="H112" s="45" t="n"/>
      <c r="I112" s="45" t="n"/>
      <c r="J112" s="45" t="n"/>
      <c r="K112" s="45" t="n"/>
      <c r="L112" s="45" t="n"/>
      <c r="M112" s="45" t="n"/>
      <c r="N112" s="45">
        <f>0.7*IF(I112="",0,I112)+0.3*(0.5*IF(H112="",0,H112)+0.3*IF(G112="",0,G112)+0.2*IF(F112="",0,F112))</f>
        <v/>
      </c>
      <c r="O112" s="45">
        <f>SUM(B112:M112)</f>
        <v/>
      </c>
      <c r="P112" s="45">
        <f>COUNTA(B112:M112)</f>
        <v/>
      </c>
    </row>
    <row r="113" ht="15" customHeight="1" s="33">
      <c r="A113" s="43" t="inlineStr">
        <is>
          <t>Serie BCS</t>
        </is>
      </c>
      <c r="B113" s="43" t="n"/>
      <c r="C113" s="43" t="n"/>
      <c r="D113" s="43" t="n"/>
      <c r="E113" s="43" t="n"/>
      <c r="F113" s="43" t="n"/>
      <c r="G113" s="43" t="n">
        <v>0.0385</v>
      </c>
      <c r="H113" s="43" t="n"/>
      <c r="I113" s="43" t="n"/>
      <c r="J113" s="43" t="n"/>
      <c r="K113" s="43" t="n"/>
      <c r="L113" s="43" t="n"/>
      <c r="M113" s="43" t="n"/>
      <c r="N113" s="43">
        <f>0.7*IF(I113="",0,I113)+0.3*(0.5*IF(H113="",0,H113)+0.3*IF(G113="",0,G113)+0.2*IF(F113="",0,F113))</f>
        <v/>
      </c>
      <c r="O113" s="43">
        <f>SUM(B113:M113)</f>
        <v/>
      </c>
      <c r="P113" s="43">
        <f>COUNTA(B113:M113)</f>
        <v/>
      </c>
    </row>
    <row r="114" ht="15" customHeight="1" s="33">
      <c r="A114" s="45" t="inlineStr">
        <is>
          <t>Undaunted 2200 Callisto</t>
        </is>
      </c>
      <c r="B114" s="45" t="n"/>
      <c r="C114" s="45" t="n"/>
      <c r="D114" s="45" t="n"/>
      <c r="E114" s="45" t="n"/>
      <c r="F114" s="45" t="n"/>
      <c r="G114" s="45" t="n">
        <v>0.0385</v>
      </c>
      <c r="H114" s="45" t="n"/>
      <c r="I114" s="45" t="n"/>
      <c r="J114" s="45" t="n"/>
      <c r="K114" s="45" t="n"/>
      <c r="L114" s="45" t="n"/>
      <c r="M114" s="45" t="n"/>
      <c r="N114" s="45">
        <f>0.7*IF(I114="",0,I114)+0.3*(0.5*IF(H114="",0,H114)+0.3*IF(G114="",0,G114)+0.2*IF(F114="",0,F114))</f>
        <v/>
      </c>
      <c r="O114" s="45">
        <f>SUM(B114:M114)</f>
        <v/>
      </c>
      <c r="P114" s="45">
        <f>COUNTA(B114:M114)</f>
        <v/>
      </c>
    </row>
    <row r="115" ht="15" customHeight="1" s="33">
      <c r="A115" s="43" t="inlineStr">
        <is>
          <t>Resistencia Holandesa</t>
        </is>
      </c>
      <c r="B115" s="43" t="n"/>
      <c r="C115" s="43" t="n"/>
      <c r="D115" s="43" t="n">
        <v>0.1579</v>
      </c>
      <c r="E115" s="43" t="n">
        <v>0.0882</v>
      </c>
      <c r="F115" s="43" t="n">
        <v>0.05</v>
      </c>
      <c r="G115" s="43" t="n"/>
      <c r="H115" s="43" t="n"/>
      <c r="I115" s="43" t="n"/>
      <c r="J115" s="43" t="n"/>
      <c r="K115" s="43" t="n"/>
      <c r="L115" s="43" t="n"/>
      <c r="M115" s="43" t="n"/>
      <c r="N115" s="43">
        <f>0.7*IF(I115="",0,I115)+0.3*(0.5*IF(H115="",0,H115)+0.3*IF(G115="",0,G115)+0.2*IF(F115="",0,F115))</f>
        <v/>
      </c>
      <c r="O115" s="43">
        <f>SUM(B115:M115)</f>
        <v/>
      </c>
      <c r="P115" s="43">
        <f>COUNTA(B115:M115)</f>
        <v/>
      </c>
    </row>
    <row r="116" ht="15" customHeight="1" s="33">
      <c r="A116" s="45" t="inlineStr">
        <is>
          <t>ASL Starter kit 1</t>
        </is>
      </c>
      <c r="B116" s="45" t="n"/>
      <c r="C116" s="45" t="n"/>
      <c r="D116" s="45" t="n"/>
      <c r="E116" s="45" t="n"/>
      <c r="F116" s="45" t="n">
        <v>0.05</v>
      </c>
      <c r="G116" s="45" t="n"/>
      <c r="H116" s="45" t="n"/>
      <c r="I116" s="45" t="n"/>
      <c r="J116" s="45" t="n"/>
      <c r="K116" s="45" t="n"/>
      <c r="L116" s="45" t="n"/>
      <c r="M116" s="45" t="n"/>
      <c r="N116" s="45">
        <f>0.7*IF(I116="",0,I116)+0.3*(0.5*IF(H116="",0,H116)+0.3*IF(G116="",0,G116)+0.2*IF(F116="",0,F116))</f>
        <v/>
      </c>
      <c r="O116" s="45">
        <f>SUM(B116:M116)</f>
        <v/>
      </c>
      <c r="P116" s="45">
        <f>COUNTA(B116:M116)</f>
        <v/>
      </c>
    </row>
    <row r="117" ht="15" customHeight="1" s="33">
      <c r="A117" s="43" t="inlineStr">
        <is>
          <t>Crisis 1914</t>
        </is>
      </c>
      <c r="B117" s="43" t="n"/>
      <c r="C117" s="43" t="n"/>
      <c r="D117" s="43" t="n"/>
      <c r="E117" s="43" t="n"/>
      <c r="F117" s="43" t="n">
        <v>0.05</v>
      </c>
      <c r="G117" s="43" t="n"/>
      <c r="H117" s="43" t="n"/>
      <c r="I117" s="43" t="n"/>
      <c r="J117" s="43" t="n"/>
      <c r="K117" s="43" t="n"/>
      <c r="L117" s="43" t="n"/>
      <c r="M117" s="43" t="n"/>
      <c r="N117" s="43">
        <f>0.7*IF(I117="",0,I117)+0.3*(0.5*IF(H117="",0,H117)+0.3*IF(G117="",0,G117)+0.2*IF(F117="",0,F117))</f>
        <v/>
      </c>
      <c r="O117" s="43">
        <f>SUM(B117:M117)</f>
        <v/>
      </c>
      <c r="P117" s="43">
        <f>COUNTA(B117:M117)</f>
        <v/>
      </c>
    </row>
    <row r="118" ht="15" customHeight="1" s="33">
      <c r="A118" s="45" t="inlineStr">
        <is>
          <t>Little Round Top</t>
        </is>
      </c>
      <c r="B118" s="45" t="n"/>
      <c r="C118" s="45" t="n"/>
      <c r="D118" s="45" t="n"/>
      <c r="E118" s="45" t="n"/>
      <c r="F118" s="45" t="n">
        <v>0.05</v>
      </c>
      <c r="G118" s="45" t="n"/>
      <c r="H118" s="45" t="n"/>
      <c r="I118" s="45" t="n"/>
      <c r="J118" s="45" t="n"/>
      <c r="K118" s="45" t="n"/>
      <c r="L118" s="45" t="n"/>
      <c r="M118" s="45" t="n"/>
      <c r="N118" s="45">
        <f>0.7*IF(I118="",0,I118)+0.3*(0.5*IF(H118="",0,H118)+0.3*IF(G118="",0,G118)+0.2*IF(F118="",0,F118))</f>
        <v/>
      </c>
      <c r="O118" s="45">
        <f>SUM(B118:M118)</f>
        <v/>
      </c>
      <c r="P118" s="45">
        <f>COUNTA(B118:M118)</f>
        <v/>
      </c>
    </row>
    <row r="119" ht="15" customHeight="1" s="33">
      <c r="A119" s="43" t="inlineStr">
        <is>
          <t>Red Dust Rebellion</t>
        </is>
      </c>
      <c r="B119" s="43" t="n"/>
      <c r="C119" s="43" t="n"/>
      <c r="D119" s="43" t="n"/>
      <c r="E119" s="43" t="n"/>
      <c r="F119" s="43" t="n">
        <v>0.05</v>
      </c>
      <c r="G119" s="43" t="n"/>
      <c r="H119" s="43" t="n"/>
      <c r="I119" s="43" t="n"/>
      <c r="J119" s="43" t="n"/>
      <c r="K119" s="43" t="n"/>
      <c r="L119" s="43" t="n"/>
      <c r="M119" s="43" t="n"/>
      <c r="N119" s="43">
        <f>0.7*IF(I119="",0,I119)+0.3*(0.5*IF(H119="",0,H119)+0.3*IF(G119="",0,G119)+0.2*IF(F119="",0,F119))</f>
        <v/>
      </c>
      <c r="O119" s="43">
        <f>SUM(B119:M119)</f>
        <v/>
      </c>
      <c r="P119" s="43">
        <f>COUNTA(B119:M119)</f>
        <v/>
      </c>
    </row>
    <row r="120" ht="15" customHeight="1" s="33">
      <c r="A120" s="45" t="inlineStr">
        <is>
          <t>Rostov (Serie SCS)</t>
        </is>
      </c>
      <c r="B120" s="45" t="n"/>
      <c r="C120" s="45" t="n"/>
      <c r="D120" s="45" t="n"/>
      <c r="E120" s="45" t="n"/>
      <c r="F120" s="45" t="n">
        <v>0.05</v>
      </c>
      <c r="G120" s="45" t="n"/>
      <c r="H120" s="45" t="n"/>
      <c r="I120" s="45" t="n"/>
      <c r="J120" s="45" t="n"/>
      <c r="K120" s="45" t="n"/>
      <c r="L120" s="45" t="n"/>
      <c r="M120" s="45" t="n"/>
      <c r="N120" s="45">
        <f>0.7*IF(I120="",0,I120)+0.3*(0.5*IF(H120="",0,H120)+0.3*IF(G120="",0,G120)+0.2*IF(F120="",0,F120))</f>
        <v/>
      </c>
      <c r="O120" s="45">
        <f>SUM(B120:M120)</f>
        <v/>
      </c>
      <c r="P120" s="45">
        <f>COUNTA(B120:M120)</f>
        <v/>
      </c>
    </row>
    <row r="121" ht="15" customHeight="1" s="33">
      <c r="A121" s="43" t="inlineStr">
        <is>
          <t>Valley of Tears</t>
        </is>
      </c>
      <c r="B121" s="43" t="n"/>
      <c r="C121" s="43" t="n"/>
      <c r="D121" s="43" t="n"/>
      <c r="E121" s="43" t="n"/>
      <c r="F121" s="43" t="n">
        <v>0.05</v>
      </c>
      <c r="G121" s="43" t="n"/>
      <c r="H121" s="43" t="n"/>
      <c r="I121" s="43" t="n"/>
      <c r="J121" s="43" t="n"/>
      <c r="K121" s="43" t="n"/>
      <c r="L121" s="43" t="n"/>
      <c r="M121" s="43" t="n"/>
      <c r="N121" s="43">
        <f>0.7*IF(I121="",0,I121)+0.3*(0.5*IF(H121="",0,H121)+0.3*IF(G121="",0,G121)+0.2*IF(F121="",0,F121))</f>
        <v/>
      </c>
      <c r="O121" s="43">
        <f>SUM(B121:M121)</f>
        <v/>
      </c>
      <c r="P121" s="43">
        <f>COUNTA(B121:M121)</f>
        <v/>
      </c>
    </row>
    <row r="122" ht="15" customHeight="1" s="33">
      <c r="A122" s="45" t="inlineStr">
        <is>
          <t>BCS Brazen Chariots</t>
        </is>
      </c>
      <c r="B122" s="45" t="n"/>
      <c r="C122" s="45" t="n"/>
      <c r="D122" s="45" t="n"/>
      <c r="E122" s="45" t="n"/>
      <c r="F122" s="45" t="n"/>
      <c r="G122" s="45" t="n">
        <v>0.0192</v>
      </c>
      <c r="H122" s="45" t="n"/>
      <c r="I122" s="45" t="n"/>
      <c r="J122" s="45" t="n"/>
      <c r="K122" s="45" t="n"/>
      <c r="L122" s="45" t="n"/>
      <c r="M122" s="45" t="n"/>
      <c r="N122" s="45">
        <f>0.7*IF(I122="",0,I122)+0.3*(0.5*IF(H122="",0,H122)+0.3*IF(G122="",0,G122)+0.2*IF(F122="",0,F122))</f>
        <v/>
      </c>
      <c r="O122" s="45">
        <f>SUM(B122:M122)</f>
        <v/>
      </c>
      <c r="P122" s="45">
        <f>COUNTA(B122:M122)</f>
        <v/>
      </c>
    </row>
    <row r="123" ht="15" customHeight="1" s="33">
      <c r="A123" s="43" t="inlineStr">
        <is>
          <t>Hannibal</t>
        </is>
      </c>
      <c r="B123" s="43" t="n"/>
      <c r="C123" s="43" t="n"/>
      <c r="D123" s="43" t="n"/>
      <c r="E123" s="43" t="n"/>
      <c r="F123" s="43" t="n"/>
      <c r="G123" s="43" t="n">
        <v>0.0192</v>
      </c>
      <c r="H123" s="43" t="n"/>
      <c r="I123" s="43" t="n"/>
      <c r="J123" s="43" t="n"/>
      <c r="K123" s="43" t="n"/>
      <c r="L123" s="43" t="n"/>
      <c r="M123" s="43" t="n"/>
      <c r="N123" s="43">
        <f>0.7*IF(I123="",0,I123)+0.3*(0.5*IF(H123="",0,H123)+0.3*IF(G123="",0,G123)+0.2*IF(F123="",0,F123))</f>
        <v/>
      </c>
      <c r="O123" s="43">
        <f>SUM(B123:M123)</f>
        <v/>
      </c>
      <c r="P123" s="43">
        <f>COUNTA(B123:M123)</f>
        <v/>
      </c>
    </row>
    <row r="124" ht="15" customHeight="1" s="33">
      <c r="A124" s="45" t="inlineStr">
        <is>
          <t>Panzer North Africa</t>
        </is>
      </c>
      <c r="B124" s="45" t="n"/>
      <c r="C124" s="45" t="n"/>
      <c r="D124" s="45" t="n"/>
      <c r="E124" s="45" t="n"/>
      <c r="F124" s="45" t="n"/>
      <c r="G124" s="45" t="n">
        <v>0.0192</v>
      </c>
      <c r="H124" s="45" t="n"/>
      <c r="I124" s="45" t="n"/>
      <c r="J124" s="45" t="n"/>
      <c r="K124" s="45" t="n"/>
      <c r="L124" s="45" t="n"/>
      <c r="M124" s="45" t="n"/>
      <c r="N124" s="45">
        <f>0.7*IF(I124="",0,I124)+0.3*(0.5*IF(H124="",0,H124)+0.3*IF(G124="",0,G124)+0.2*IF(F124="",0,F124))</f>
        <v/>
      </c>
      <c r="O124" s="45">
        <f>SUM(B124:M124)</f>
        <v/>
      </c>
      <c r="P124" s="45">
        <f>COUNTA(B124:M124)</f>
        <v/>
      </c>
    </row>
    <row r="125" ht="15" customHeight="1" s="33">
      <c r="A125" s="43" t="inlineStr">
        <is>
          <t>Kanal</t>
        </is>
      </c>
      <c r="B125" s="43" t="n"/>
      <c r="C125" s="43" t="n"/>
      <c r="D125" s="43" t="n">
        <v>0.0526</v>
      </c>
      <c r="E125" s="43" t="n">
        <v>0.0588</v>
      </c>
      <c r="F125" s="43" t="n">
        <v>0.025</v>
      </c>
      <c r="G125" s="43" t="n"/>
      <c r="H125" s="43" t="n"/>
      <c r="I125" s="43" t="n"/>
      <c r="J125" s="43" t="n"/>
      <c r="K125" s="43" t="n"/>
      <c r="L125" s="43" t="n"/>
      <c r="M125" s="43" t="n"/>
      <c r="N125" s="43">
        <f>0.7*IF(I125="",0,I125)+0.3*(0.5*IF(H125="",0,H125)+0.3*IF(G125="",0,G125)+0.2*IF(F125="",0,F125))</f>
        <v/>
      </c>
      <c r="O125" s="43">
        <f>SUM(B125:M125)</f>
        <v/>
      </c>
      <c r="P125" s="43">
        <f>COUNTA(B125:M125)</f>
        <v/>
      </c>
    </row>
    <row r="126" ht="15" customHeight="1" s="33">
      <c r="A126" s="45" t="inlineStr">
        <is>
          <t>Virgin Queen</t>
        </is>
      </c>
      <c r="B126" s="45" t="n"/>
      <c r="C126" s="45" t="n"/>
      <c r="D126" s="45" t="n"/>
      <c r="E126" s="45" t="n">
        <v>0.0882</v>
      </c>
      <c r="F126" s="45" t="n">
        <v>0.025</v>
      </c>
      <c r="G126" s="45" t="n"/>
      <c r="H126" s="45" t="n"/>
      <c r="I126" s="45" t="n"/>
      <c r="J126" s="45" t="n"/>
      <c r="K126" s="45" t="n"/>
      <c r="L126" s="45" t="n"/>
      <c r="M126" s="45" t="n"/>
      <c r="N126" s="45">
        <f>0.7*IF(I126="",0,I126)+0.3*(0.5*IF(H126="",0,H126)+0.3*IF(G126="",0,G126)+0.2*IF(F126="",0,F126))</f>
        <v/>
      </c>
      <c r="O126" s="45">
        <f>SUM(B126:M126)</f>
        <v/>
      </c>
      <c r="P126" s="45">
        <f>COUNTA(B126:M126)</f>
        <v/>
      </c>
    </row>
    <row r="127" ht="15" customHeight="1" s="33">
      <c r="A127" s="43" t="inlineStr">
        <is>
          <t>Band of Brothers Screaming Eagles</t>
        </is>
      </c>
      <c r="B127" s="43" t="n"/>
      <c r="C127" s="43" t="n"/>
      <c r="D127" s="43" t="n"/>
      <c r="E127" s="43" t="n"/>
      <c r="F127" s="43" t="n">
        <v>0.025</v>
      </c>
      <c r="G127" s="43" t="n"/>
      <c r="H127" s="43" t="n"/>
      <c r="I127" s="43" t="n"/>
      <c r="J127" s="43" t="n"/>
      <c r="K127" s="43" t="n"/>
      <c r="L127" s="43" t="n"/>
      <c r="M127" s="43" t="n"/>
      <c r="N127" s="43">
        <f>0.7*IF(I127="",0,I127)+0.3*(0.5*IF(H127="",0,H127)+0.3*IF(G127="",0,G127)+0.2*IF(F127="",0,F127))</f>
        <v/>
      </c>
      <c r="O127" s="43">
        <f>SUM(B127:M127)</f>
        <v/>
      </c>
      <c r="P127" s="43">
        <f>COUNTA(B127:M127)</f>
        <v/>
      </c>
    </row>
    <row r="128" ht="15" customHeight="1" s="33">
      <c r="A128" s="45" t="inlineStr">
        <is>
          <t>Battle Commander: Volume I</t>
        </is>
      </c>
      <c r="B128" s="45" t="n"/>
      <c r="C128" s="45" t="n"/>
      <c r="D128" s="45" t="n"/>
      <c r="E128" s="45" t="n"/>
      <c r="F128" s="45" t="n">
        <v>0.025</v>
      </c>
      <c r="G128" s="45" t="n"/>
      <c r="H128" s="45" t="n"/>
      <c r="I128" s="45" t="n"/>
      <c r="J128" s="45" t="n"/>
      <c r="K128" s="45" t="n"/>
      <c r="L128" s="45" t="n"/>
      <c r="M128" s="45" t="n"/>
      <c r="N128" s="45">
        <f>0.7*IF(I128="",0,I128)+0.3*(0.5*IF(H128="",0,H128)+0.3*IF(G128="",0,G128)+0.2*IF(F128="",0,F128))</f>
        <v/>
      </c>
      <c r="O128" s="45">
        <f>SUM(B128:M128)</f>
        <v/>
      </c>
      <c r="P128" s="45">
        <f>COUNTA(B128:M128)</f>
        <v/>
      </c>
    </row>
    <row r="129" ht="15" customHeight="1" s="33">
      <c r="A129" s="43" t="inlineStr">
        <is>
          <t>By Iron and Blood</t>
        </is>
      </c>
      <c r="B129" s="43" t="n"/>
      <c r="C129" s="43" t="n"/>
      <c r="D129" s="43" t="n"/>
      <c r="E129" s="43" t="n"/>
      <c r="F129" s="43" t="n">
        <v>0.025</v>
      </c>
      <c r="G129" s="43" t="n"/>
      <c r="H129" s="43" t="n"/>
      <c r="I129" s="43" t="n"/>
      <c r="J129" s="43" t="n"/>
      <c r="K129" s="43" t="n"/>
      <c r="L129" s="43" t="n"/>
      <c r="M129" s="43" t="n"/>
      <c r="N129" s="43">
        <f>0.7*IF(I129="",0,I129)+0.3*(0.5*IF(H129="",0,H129)+0.3*IF(G129="",0,G129)+0.2*IF(F129="",0,F129))</f>
        <v/>
      </c>
      <c r="O129" s="43">
        <f>SUM(B129:M129)</f>
        <v/>
      </c>
      <c r="P129" s="43">
        <f>COUNTA(B129:M129)</f>
        <v/>
      </c>
    </row>
    <row r="130" ht="15" customHeight="1" s="33">
      <c r="A130" s="45" t="inlineStr">
        <is>
          <t>Combat! Volumen 1</t>
        </is>
      </c>
      <c r="B130" s="45" t="n"/>
      <c r="C130" s="45" t="n"/>
      <c r="D130" s="45" t="n"/>
      <c r="E130" s="45" t="n"/>
      <c r="F130" s="45" t="n">
        <v>0.025</v>
      </c>
      <c r="G130" s="45" t="n"/>
      <c r="H130" s="45" t="n"/>
      <c r="I130" s="45" t="n"/>
      <c r="J130" s="45" t="n"/>
      <c r="K130" s="45" t="n"/>
      <c r="L130" s="45" t="n"/>
      <c r="M130" s="45" t="n"/>
      <c r="N130" s="45">
        <f>0.7*IF(I130="",0,I130)+0.3*(0.5*IF(H130="",0,H130)+0.3*IF(G130="",0,G130)+0.2*IF(F130="",0,F130))</f>
        <v/>
      </c>
      <c r="O130" s="45">
        <f>SUM(B130:M130)</f>
        <v/>
      </c>
      <c r="P130" s="45">
        <f>COUNTA(B130:M130)</f>
        <v/>
      </c>
    </row>
    <row r="131" ht="15" customHeight="1" s="33">
      <c r="A131" s="43" t="inlineStr">
        <is>
          <t>Héroes Of Normandie</t>
        </is>
      </c>
      <c r="B131" s="43" t="n"/>
      <c r="C131" s="43" t="n"/>
      <c r="D131" s="43" t="n"/>
      <c r="E131" s="43" t="n"/>
      <c r="F131" s="43" t="n">
        <v>0.025</v>
      </c>
      <c r="G131" s="43" t="n"/>
      <c r="H131" s="43" t="n"/>
      <c r="I131" s="43" t="n"/>
      <c r="J131" s="43" t="n"/>
      <c r="K131" s="43" t="n"/>
      <c r="L131" s="43" t="n"/>
      <c r="M131" s="43" t="n"/>
      <c r="N131" s="43">
        <f>0.7*IF(I131="",0,I131)+0.3*(0.5*IF(H131="",0,H131)+0.3*IF(G131="",0,G131)+0.2*IF(F131="",0,F131))</f>
        <v/>
      </c>
      <c r="O131" s="43">
        <f>SUM(B131:M131)</f>
        <v/>
      </c>
      <c r="P131" s="43">
        <f>COUNTA(B131:M131)</f>
        <v/>
      </c>
    </row>
    <row r="132" ht="15" customHeight="1" s="33">
      <c r="A132" s="45" t="inlineStr">
        <is>
          <t>Operación Bollebank</t>
        </is>
      </c>
      <c r="B132" s="45" t="n"/>
      <c r="C132" s="45" t="n"/>
      <c r="D132" s="45" t="n"/>
      <c r="E132" s="45" t="n"/>
      <c r="F132" s="45" t="n">
        <v>0.025</v>
      </c>
      <c r="G132" s="45" t="n"/>
      <c r="H132" s="45" t="n"/>
      <c r="I132" s="45" t="n"/>
      <c r="J132" s="45" t="n"/>
      <c r="K132" s="45" t="n"/>
      <c r="L132" s="45" t="n"/>
      <c r="M132" s="45" t="n"/>
      <c r="N132" s="45">
        <f>0.7*IF(I132="",0,I132)+0.3*(0.5*IF(H132="",0,H132)+0.3*IF(G132="",0,G132)+0.2*IF(F132="",0,F132))</f>
        <v/>
      </c>
      <c r="O132" s="45">
        <f>SUM(B132:M132)</f>
        <v/>
      </c>
      <c r="P132" s="45">
        <f>COUNTA(B132:M132)</f>
        <v/>
      </c>
    </row>
    <row r="133" ht="15" customHeight="1" s="33">
      <c r="A133" s="43" t="inlineStr">
        <is>
          <t>Poland Defiant: The German Invasion, September 1939</t>
        </is>
      </c>
      <c r="B133" s="43" t="n"/>
      <c r="C133" s="43" t="n"/>
      <c r="D133" s="43" t="n"/>
      <c r="E133" s="43" t="n"/>
      <c r="F133" s="43" t="n">
        <v>0.025</v>
      </c>
      <c r="G133" s="43" t="n"/>
      <c r="H133" s="43" t="n"/>
      <c r="I133" s="43" t="n"/>
      <c r="J133" s="43" t="n"/>
      <c r="K133" s="43" t="n"/>
      <c r="L133" s="43" t="n"/>
      <c r="M133" s="43" t="n"/>
      <c r="N133" s="43">
        <f>0.7*IF(I133="",0,I133)+0.3*(0.5*IF(H133="",0,H133)+0.3*IF(G133="",0,G133)+0.2*IF(F133="",0,F133))</f>
        <v/>
      </c>
      <c r="O133" s="43">
        <f>SUM(B133:M133)</f>
        <v/>
      </c>
      <c r="P133" s="43">
        <f>COUNTA(B133:M133)</f>
        <v/>
      </c>
    </row>
    <row r="134" ht="15" customHeight="1" s="33">
      <c r="A134" s="45" t="inlineStr">
        <is>
          <t>RAF</t>
        </is>
      </c>
      <c r="B134" s="45" t="n"/>
      <c r="C134" s="45" t="n"/>
      <c r="D134" s="45" t="n"/>
      <c r="E134" s="45" t="n"/>
      <c r="F134" s="45" t="n">
        <v>0.025</v>
      </c>
      <c r="G134" s="45" t="n"/>
      <c r="H134" s="45" t="n"/>
      <c r="I134" s="45" t="n"/>
      <c r="J134" s="45" t="n"/>
      <c r="K134" s="45" t="n"/>
      <c r="L134" s="45" t="n"/>
      <c r="M134" s="45" t="n"/>
      <c r="N134" s="45">
        <f>0.7*IF(I134="",0,I134)+0.3*(0.5*IF(H134="",0,H134)+0.3*IF(G134="",0,G134)+0.2*IF(F134="",0,F134))</f>
        <v/>
      </c>
      <c r="O134" s="45">
        <f>SUM(B134:M134)</f>
        <v/>
      </c>
      <c r="P134" s="45">
        <f>COUNTA(B134:M134)</f>
        <v/>
      </c>
    </row>
    <row r="135" ht="15" customHeight="1" s="33">
      <c r="A135" s="43" t="inlineStr">
        <is>
          <t>Skies Above Britain</t>
        </is>
      </c>
      <c r="B135" s="43" t="n"/>
      <c r="C135" s="43" t="n"/>
      <c r="D135" s="43" t="n">
        <v>0.1579</v>
      </c>
      <c r="E135" s="43" t="n"/>
      <c r="F135" s="43" t="n"/>
      <c r="G135" s="43" t="n"/>
      <c r="H135" s="43" t="n"/>
      <c r="I135" s="43" t="n"/>
      <c r="J135" s="43" t="n"/>
      <c r="K135" s="43" t="n"/>
      <c r="L135" s="43" t="n"/>
      <c r="M135" s="43" t="n"/>
      <c r="N135" s="43">
        <f>0.7*IF(I135="",0,I135)+0.3*(0.5*IF(H135="",0,H135)+0.3*IF(G135="",0,G135)+0.2*IF(F135="",0,F135))</f>
        <v/>
      </c>
      <c r="O135" s="43">
        <f>SUM(B135:M135)</f>
        <v/>
      </c>
      <c r="P135" s="43">
        <f>COUNTA(B135:M135)</f>
        <v/>
      </c>
    </row>
    <row r="136" ht="15" customHeight="1" s="33">
      <c r="A136" s="45" t="inlineStr">
        <is>
          <t>Stonewall in the Valley</t>
        </is>
      </c>
      <c r="B136" s="45" t="n"/>
      <c r="C136" s="45" t="n"/>
      <c r="D136" s="45" t="n">
        <v>0.1579</v>
      </c>
      <c r="E136" s="45" t="n"/>
      <c r="F136" s="45" t="n"/>
      <c r="G136" s="45" t="n"/>
      <c r="H136" s="45" t="n"/>
      <c r="I136" s="45" t="n"/>
      <c r="J136" s="45" t="n"/>
      <c r="K136" s="45" t="n"/>
      <c r="L136" s="45" t="n"/>
      <c r="M136" s="45" t="n"/>
      <c r="N136" s="45">
        <f>0.7*IF(I136="",0,I136)+0.3*(0.5*IF(H136="",0,H136)+0.3*IF(G136="",0,G136)+0.2*IF(F136="",0,F136))</f>
        <v/>
      </c>
      <c r="O136" s="45">
        <f>SUM(B136:M136)</f>
        <v/>
      </c>
      <c r="P136" s="45">
        <f>COUNTA(B136:M136)</f>
        <v/>
      </c>
    </row>
    <row r="137" ht="15" customHeight="1" s="33">
      <c r="A137" s="43" t="inlineStr">
        <is>
          <t>Almoravid</t>
        </is>
      </c>
      <c r="B137" s="43" t="n"/>
      <c r="C137" s="43" t="n"/>
      <c r="D137" s="43" t="n"/>
      <c r="E137" s="43" t="n">
        <v>0.0882</v>
      </c>
      <c r="F137" s="43" t="n"/>
      <c r="G137" s="43" t="n"/>
      <c r="H137" s="43" t="n"/>
      <c r="I137" s="43" t="n"/>
      <c r="J137" s="43" t="n"/>
      <c r="K137" s="43" t="n"/>
      <c r="L137" s="43" t="n"/>
      <c r="M137" s="43" t="n"/>
      <c r="N137" s="43">
        <f>0.7*IF(I137="",0,I137)+0.3*(0.5*IF(H137="",0,H137)+0.3*IF(G137="",0,G137)+0.2*IF(F137="",0,F137))</f>
        <v/>
      </c>
      <c r="O137" s="43">
        <f>SUM(B137:M137)</f>
        <v/>
      </c>
      <c r="P137" s="43">
        <f>COUNTA(B137:M137)</f>
        <v/>
      </c>
    </row>
    <row r="138" ht="15" customHeight="1" s="33">
      <c r="A138" s="45" t="inlineStr">
        <is>
          <t>Battles of the American Revolution Tri-Pack</t>
        </is>
      </c>
      <c r="B138" s="45" t="n"/>
      <c r="C138" s="45" t="n"/>
      <c r="D138" s="45" t="n"/>
      <c r="E138" s="45" t="n">
        <v>0.0882</v>
      </c>
      <c r="F138" s="45" t="n">
        <v>0.1</v>
      </c>
      <c r="G138" s="45" t="n"/>
      <c r="H138" s="45" t="n"/>
      <c r="I138" s="45" t="n"/>
      <c r="J138" s="45" t="n"/>
      <c r="K138" s="45" t="n"/>
      <c r="L138" s="45" t="n"/>
      <c r="M138" s="45" t="n"/>
      <c r="N138" s="45">
        <f>0.7*IF(I138="",0,I138)+0.3*(0.5*IF(H138="",0,H138)+0.3*IF(G138="",0,G138)+0.2*IF(F138="",0,F138))</f>
        <v/>
      </c>
      <c r="O138" s="45">
        <f>SUM(B138:M138)</f>
        <v/>
      </c>
      <c r="P138" s="45">
        <f>COUNTA(B138:M138)</f>
        <v/>
      </c>
    </row>
    <row r="139" ht="15" customHeight="1" s="33">
      <c r="A139" s="43" t="inlineStr">
        <is>
          <t>Founding Fathers</t>
        </is>
      </c>
      <c r="B139" s="43" t="n"/>
      <c r="C139" s="43" t="n"/>
      <c r="D139" s="43" t="n"/>
      <c r="E139" s="43" t="n">
        <v>0.0882</v>
      </c>
      <c r="F139" s="43" t="n"/>
      <c r="G139" s="43" t="n"/>
      <c r="H139" s="43" t="n"/>
      <c r="I139" s="43" t="n"/>
      <c r="J139" s="43" t="n"/>
      <c r="K139" s="43" t="n"/>
      <c r="L139" s="43" t="n"/>
      <c r="M139" s="43" t="n"/>
      <c r="N139" s="43">
        <f>0.7*IF(I139="",0,I139)+0.3*(0.5*IF(H139="",0,H139)+0.3*IF(G139="",0,G139)+0.2*IF(F139="",0,F139))</f>
        <v/>
      </c>
      <c r="O139" s="43">
        <f>SUM(B139:M139)</f>
        <v/>
      </c>
      <c r="P139" s="43">
        <f>COUNTA(B139:M139)</f>
        <v/>
      </c>
    </row>
    <row r="140" ht="15" customHeight="1" s="33">
      <c r="A140" s="45" t="inlineStr">
        <is>
          <t>Monty's Gamble: Market Garden</t>
        </is>
      </c>
      <c r="B140" s="45" t="n"/>
      <c r="C140" s="45" t="n"/>
      <c r="D140" s="45" t="n"/>
      <c r="E140" s="45" t="n">
        <v>0.0882</v>
      </c>
      <c r="F140" s="45" t="n"/>
      <c r="G140" s="45" t="n"/>
      <c r="H140" s="45" t="n"/>
      <c r="I140" s="45" t="n"/>
      <c r="J140" s="45" t="n"/>
      <c r="K140" s="45" t="n"/>
      <c r="L140" s="45" t="n"/>
      <c r="M140" s="45" t="n"/>
      <c r="N140" s="45">
        <f>0.7*IF(I140="",0,I140)+0.3*(0.5*IF(H140="",0,H140)+0.3*IF(G140="",0,G140)+0.2*IF(F140="",0,F140))</f>
        <v/>
      </c>
      <c r="O140" s="45">
        <f>SUM(B140:M140)</f>
        <v/>
      </c>
      <c r="P140" s="45">
        <f>COUNTA(B140:M140)</f>
        <v/>
      </c>
    </row>
    <row r="141" ht="15" customHeight="1" s="33">
      <c r="A141" s="43" t="inlineStr">
        <is>
          <t>Axis Empires: Ultimate Edition</t>
        </is>
      </c>
      <c r="B141" s="43" t="n"/>
      <c r="C141" s="43" t="n"/>
      <c r="D141" s="43" t="n"/>
      <c r="E141" s="43" t="n">
        <v>0.0588</v>
      </c>
      <c r="F141" s="43" t="n"/>
      <c r="G141" s="43" t="n"/>
      <c r="H141" s="43" t="n"/>
      <c r="I141" s="43" t="n"/>
      <c r="J141" s="43" t="n"/>
      <c r="K141" s="43" t="n"/>
      <c r="L141" s="43" t="n"/>
      <c r="M141" s="43" t="n"/>
      <c r="N141" s="43">
        <f>0.7*IF(I141="",0,I141)+0.3*(0.5*IF(H141="",0,H141)+0.3*IF(G141="",0,G141)+0.2*IF(F141="",0,F141))</f>
        <v/>
      </c>
      <c r="O141" s="43">
        <f>SUM(B141:M141)</f>
        <v/>
      </c>
      <c r="P141" s="43">
        <f>COUNTA(B141:M141)</f>
        <v/>
      </c>
    </row>
    <row r="142" ht="15" customHeight="1" s="33">
      <c r="A142" s="45" t="inlineStr">
        <is>
          <t>Combat! Eastern Front</t>
        </is>
      </c>
      <c r="B142" s="45" t="n"/>
      <c r="C142" s="45" t="n"/>
      <c r="D142" s="45" t="n"/>
      <c r="E142" s="45" t="n">
        <v>0.0588</v>
      </c>
      <c r="F142" s="45" t="n"/>
      <c r="G142" s="45" t="n"/>
      <c r="H142" s="45" t="n"/>
      <c r="I142" s="45" t="n"/>
      <c r="J142" s="45" t="n"/>
      <c r="K142" s="45" t="n"/>
      <c r="L142" s="45" t="n"/>
      <c r="M142" s="45" t="n"/>
      <c r="N142" s="45">
        <f>0.7*IF(I142="",0,I142)+0.3*(0.5*IF(H142="",0,H142)+0.3*IF(G142="",0,G142)+0.2*IF(F142="",0,F142))</f>
        <v/>
      </c>
      <c r="O142" s="45">
        <f>SUM(B142:M142)</f>
        <v/>
      </c>
      <c r="P142" s="45">
        <f>COUNTA(B142:M142)</f>
        <v/>
      </c>
    </row>
    <row r="143" ht="15" customHeight="1" s="33">
      <c r="A143" s="43" t="inlineStr">
        <is>
          <t>The Shores of Tripoli</t>
        </is>
      </c>
      <c r="B143" s="43" t="n"/>
      <c r="C143" s="43" t="n"/>
      <c r="D143" s="43" t="n"/>
      <c r="E143" s="43" t="n">
        <v>0.0588</v>
      </c>
      <c r="F143" s="43" t="n"/>
      <c r="G143" s="43" t="n"/>
      <c r="H143" s="43" t="n"/>
      <c r="I143" s="43" t="n"/>
      <c r="J143" s="43" t="n"/>
      <c r="K143" s="43" t="n"/>
      <c r="L143" s="43" t="n"/>
      <c r="M143" s="43" t="n"/>
      <c r="N143" s="43">
        <f>0.7*IF(I143="",0,I143)+0.3*(0.5*IF(H143="",0,H143)+0.3*IF(G143="",0,G143)+0.2*IF(F143="",0,F143))</f>
        <v/>
      </c>
      <c r="O143" s="43">
        <f>SUM(B143:M143)</f>
        <v/>
      </c>
      <c r="P143" s="43">
        <f>COUNTA(B143:M143)</f>
        <v/>
      </c>
    </row>
    <row r="144" ht="15" customHeight="1" s="33">
      <c r="A144" s="45" t="inlineStr">
        <is>
          <t>Undaunted: Callisto</t>
        </is>
      </c>
      <c r="B144" s="45" t="n"/>
      <c r="C144" s="45" t="n"/>
      <c r="D144" s="45" t="n"/>
      <c r="E144" s="45" t="n">
        <v>0.0588</v>
      </c>
      <c r="F144" s="45" t="n"/>
      <c r="G144" s="45" t="n"/>
      <c r="H144" s="45" t="n"/>
      <c r="I144" s="45" t="n"/>
      <c r="J144" s="45" t="n"/>
      <c r="K144" s="45" t="n"/>
      <c r="L144" s="45" t="n"/>
      <c r="M144" s="45" t="n"/>
      <c r="N144" s="45">
        <f>0.7*IF(I144="",0,I144)+0.3*(0.5*IF(H144="",0,H144)+0.3*IF(G144="",0,G144)+0.2*IF(F144="",0,F144))</f>
        <v/>
      </c>
      <c r="O144" s="45">
        <f>SUM(B144:M144)</f>
        <v/>
      </c>
      <c r="P144" s="45">
        <f>COUNTA(B144:M144)</f>
        <v/>
      </c>
    </row>
    <row r="145" ht="15" customHeight="1" s="33">
      <c r="A145" s="43" t="inlineStr">
        <is>
          <t>The Rock of Chickamauga</t>
        </is>
      </c>
      <c r="B145" s="43" t="n"/>
      <c r="C145" s="43" t="n"/>
      <c r="D145" s="43" t="n">
        <v>0.0526</v>
      </c>
      <c r="E145" s="43" t="n"/>
      <c r="F145" s="43" t="n"/>
      <c r="G145" s="43" t="n"/>
      <c r="H145" s="43" t="n"/>
      <c r="I145" s="43" t="n"/>
      <c r="J145" s="43" t="n"/>
      <c r="K145" s="43" t="n"/>
      <c r="L145" s="43" t="n"/>
      <c r="M145" s="43" t="n"/>
      <c r="N145" s="43">
        <f>0.7*IF(I145="",0,I145)+0.3*(0.5*IF(H145="",0,H145)+0.3*IF(G145="",0,G145)+0.2*IF(F145="",0,F145))</f>
        <v/>
      </c>
      <c r="O145" s="43">
        <f>SUM(B145:M145)</f>
        <v/>
      </c>
      <c r="P145" s="43">
        <f>COUNTA(B145:M145)</f>
        <v/>
      </c>
    </row>
    <row r="146" ht="15" customHeight="1" s="33">
      <c r="A146" s="45" t="inlineStr">
        <is>
          <t>El Otro Lado de la Colina</t>
        </is>
      </c>
      <c r="B146" s="45" t="n"/>
      <c r="C146" s="45" t="n"/>
      <c r="D146" s="45" t="n"/>
      <c r="E146" s="45" t="n">
        <v>0.0294</v>
      </c>
      <c r="F146" s="45" t="n">
        <v>0.025</v>
      </c>
      <c r="G146" s="45" t="n"/>
      <c r="H146" s="45" t="n"/>
      <c r="I146" s="45" t="n"/>
      <c r="J146" s="45" t="n"/>
      <c r="K146" s="45" t="n"/>
      <c r="L146" s="45" t="n"/>
      <c r="M146" s="45" t="n"/>
      <c r="N146" s="45">
        <f>0.7*IF(I146="",0,I146)+0.3*(0.5*IF(H146="",0,H146)+0.3*IF(G146="",0,G146)+0.2*IF(F146="",0,F146))</f>
        <v/>
      </c>
      <c r="O146" s="45">
        <f>SUM(B146:M146)</f>
        <v/>
      </c>
      <c r="P146" s="45">
        <f>COUNTA(B146:M146)</f>
        <v/>
      </c>
    </row>
    <row r="147" ht="15" customHeight="1" s="33">
      <c r="A147" s="43" t="inlineStr">
        <is>
          <t>Gunslinger</t>
        </is>
      </c>
      <c r="B147" s="43" t="n"/>
      <c r="C147" s="43" t="n"/>
      <c r="D147" s="43" t="n"/>
      <c r="E147" s="43" t="n">
        <v>0.0294</v>
      </c>
      <c r="F147" s="43" t="n"/>
      <c r="G147" s="43" t="n"/>
      <c r="H147" s="43" t="n"/>
      <c r="I147" s="43" t="n"/>
      <c r="J147" s="43" t="n"/>
      <c r="K147" s="43" t="n"/>
      <c r="L147" s="43" t="n"/>
      <c r="M147" s="43" t="n"/>
      <c r="N147" s="43">
        <f>0.7*IF(I147="",0,I147)+0.3*(0.5*IF(H147="",0,H147)+0.3*IF(G147="",0,G147)+0.2*IF(F147="",0,F147))</f>
        <v/>
      </c>
      <c r="O147" s="43">
        <f>SUM(B147:M147)</f>
        <v/>
      </c>
      <c r="P147" s="43">
        <f>COUNTA(B147:M147)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2026-07-08T16:40:48Z</dcterms:created>
  <dcterms:modified xmlns:dcterms="http://purl.org/dc/terms/" xmlns:xsi="http://www.w3.org/2001/XMLSchema-instance" xsi:type="dcterms:W3CDTF">2026-09-13T19:12:06Z</dcterms:modified>
  <cp:revision>0</cp:revision>
</cp:coreProperties>
</file>